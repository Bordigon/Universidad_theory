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n_g\Documents\Docencia\Redes de Computadores\2026\P1\"/>
    </mc:Choice>
  </mc:AlternateContent>
  <xr:revisionPtr revIDLastSave="0" documentId="13_ncr:1_{B72CCE28-3114-40E7-AF3B-72A607868F88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1. Datos y Cálculos" sheetId="1" r:id="rId1"/>
    <sheet name="2. Redes" sheetId="2" r:id="rId2"/>
    <sheet name="3. Equipos" sheetId="3" r:id="rId3"/>
    <sheet name="4. Rutas" sheetId="4" r:id="rId4"/>
    <sheet name="Leyend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24" i="1" s="1"/>
  <c r="F15" i="1"/>
  <c r="F16" i="1" s="1"/>
  <c r="E42" i="1" s="1"/>
  <c r="B6" i="2" s="1"/>
  <c r="C42" i="1" l="1"/>
  <c r="B5" i="2" s="1"/>
  <c r="G42" i="1"/>
  <c r="B7" i="2" s="1"/>
</calcChain>
</file>

<file path=xl/sharedStrings.xml><?xml version="1.0" encoding="utf-8"?>
<sst xmlns="http://schemas.openxmlformats.org/spreadsheetml/2006/main" count="200" uniqueCount="116">
  <si>
    <t>TAREA 0 – FORMULARIO INICIAL</t>
  </si>
  <si>
    <t>Rellena las celdas en AMARILLO · Las celdas en VERDE se calculan automáticamente</t>
  </si>
  <si>
    <t>👥  DATOS DEL GRUPO</t>
  </si>
  <si>
    <t>Nombre del estudiante</t>
  </si>
  <si>
    <t>Nº de matrícula</t>
  </si>
  <si>
    <t>Estudiante 1</t>
  </si>
  <si>
    <t>Estudiante 2</t>
  </si>
  <si>
    <t>Estudiante 3</t>
  </si>
  <si>
    <t>Estudiante 4</t>
  </si>
  <si>
    <t>⚠️  Matrícula más baja (sin letras):</t>
  </si>
  <si>
    <t>Nota: si alguna matrícula contiene letras, elimínalas antes de introducirla (ej. 16I0123 → 160123)</t>
  </si>
  <si>
    <t>🔢  CÁLCULOS AUTOMÁTICOS  (basados en la matrícula más baja)</t>
  </si>
  <si>
    <t>Resultado 1 = matrícula más baja MOD 4  (resto de dividir entre 4)</t>
  </si>
  <si>
    <t>Resultado 2 = DIVISIÓN ENTERA de la matrícula más baja entre 4</t>
  </si>
  <si>
    <t>Resultado 3 = Resultado 2 MOD 12  (resto de dividir Resultado 2 entre 12)</t>
  </si>
  <si>
    <t>🔗  TABLA: ENLACES A ELIMINAR  (según Resultado 1)</t>
  </si>
  <si>
    <t>Resultado 1</t>
  </si>
  <si>
    <t>Eliminar 1</t>
  </si>
  <si>
    <t>Eliminar 2</t>
  </si>
  <si>
    <t>Router 2 a Switch2</t>
  </si>
  <si>
    <t>Router 1 a Router 3</t>
  </si>
  <si>
    <t>Router 1 a Router 2</t>
  </si>
  <si>
    <t>Router 1 a Switch2</t>
  </si>
  <si>
    <t>▶  Según tu Resultado 1, debes eliminar:</t>
  </si>
  <si>
    <t>🌐  TABLA: TAMAÑO DE REDES  (según Resultado 3)</t>
  </si>
  <si>
    <t>Res. 3</t>
  </si>
  <si>
    <t>Red 1</t>
  </si>
  <si>
    <t>Red 2</t>
  </si>
  <si>
    <t>Red 3</t>
  </si>
  <si>
    <t>▶  Tus redes (hosts):</t>
  </si>
  <si>
    <t>Red 1 hosts</t>
  </si>
  <si>
    <t>Red 2 hosts</t>
  </si>
  <si>
    <t>Red 3 hosts</t>
  </si>
  <si>
    <t>TABLA DE DIRECCIONAMIENTO DE REDES</t>
  </si>
  <si>
    <t>El rango comienza en 172.16.0.0 asignando según el orden indicado en el enunciado. RED 4 = 800 hosts fijos | RED 5 = 1500 hosts fijos. Redes internas: empiezan en 192.168.1.0</t>
  </si>
  <si>
    <t>Red</t>
  </si>
  <si>
    <t>Nº de hosts</t>
  </si>
  <si>
    <t>Dirección de Subred</t>
  </si>
  <si>
    <t>Máscara</t>
  </si>
  <si>
    <t>Broadcast</t>
  </si>
  <si>
    <t>1ª Dir. de Host</t>
  </si>
  <si>
    <t>Última Dir. de Host Asignable</t>
  </si>
  <si>
    <t>Notas</t>
  </si>
  <si>
    <t>RED 1</t>
  </si>
  <si>
    <t>RED 2</t>
  </si>
  <si>
    <t>RED 3</t>
  </si>
  <si>
    <t>RED 4</t>
  </si>
  <si>
    <t>800</t>
  </si>
  <si>
    <t>Tamaño fijo</t>
  </si>
  <si>
    <t>RED 5</t>
  </si>
  <si>
    <t>1500</t>
  </si>
  <si>
    <t>Enlace Público</t>
  </si>
  <si>
    <t>Red interna 1</t>
  </si>
  <si>
    <t>192.168.x.x</t>
  </si>
  <si>
    <t>Red interna 2</t>
  </si>
  <si>
    <t>Red interna 3</t>
  </si>
  <si>
    <t>Red interna 4</t>
  </si>
  <si>
    <t>Red interna 5</t>
  </si>
  <si>
    <t>CONFIGURACIÓN DE EQUIPOS FINALES Y ROUTERS</t>
  </si>
  <si>
    <t>💻  EQUIPOS FINALES (PCs)</t>
  </si>
  <si>
    <t>Dispositivo</t>
  </si>
  <si>
    <t>Interfaz</t>
  </si>
  <si>
    <t>Dirección IP</t>
  </si>
  <si>
    <t>Gateway</t>
  </si>
  <si>
    <t>Servidor DNS</t>
  </si>
  <si>
    <t>PC1-1</t>
  </si>
  <si>
    <t>Fa 0</t>
  </si>
  <si>
    <t>PC1-2</t>
  </si>
  <si>
    <t>PC2-1</t>
  </si>
  <si>
    <t>PC2-2</t>
  </si>
  <si>
    <t>PC3-1</t>
  </si>
  <si>
    <t>PC3-2</t>
  </si>
  <si>
    <t>PC4-1</t>
  </si>
  <si>
    <t>PC4-2</t>
  </si>
  <si>
    <t>PC5-1</t>
  </si>
  <si>
    <t>PC5-2</t>
  </si>
  <si>
    <t>⚙️  DISPOSITIVOS PRE-CONFIGURADOS (solo lectura)</t>
  </si>
  <si>
    <t>S. DNS</t>
  </si>
  <si>
    <t>20.20.20.20</t>
  </si>
  <si>
    <t>128.0.0.0</t>
  </si>
  <si>
    <t>50.50.50.1</t>
  </si>
  <si>
    <t>-</t>
  </si>
  <si>
    <t>www.marca.es</t>
  </si>
  <si>
    <t>100.100.100.100</t>
  </si>
  <si>
    <t>PC-Casa</t>
  </si>
  <si>
    <t>14.14.14.14</t>
  </si>
  <si>
    <t>🔀  ROUTERS</t>
  </si>
  <si>
    <t>ISP</t>
  </si>
  <si>
    <t>GigabitEthernet 0/0</t>
  </si>
  <si>
    <t>pre-config.</t>
  </si>
  <si>
    <t>Serial 0/0/0</t>
  </si>
  <si>
    <t>138.10.0.1</t>
  </si>
  <si>
    <t>255.255.255.252</t>
  </si>
  <si>
    <t>R1</t>
  </si>
  <si>
    <t>Serial 0/0/1</t>
  </si>
  <si>
    <t>Serial 0/1/0</t>
  </si>
  <si>
    <t>GigabitEthernet 0/1</t>
  </si>
  <si>
    <t>R2</t>
  </si>
  <si>
    <t>R3</t>
  </si>
  <si>
    <t>TABLAS DE RUTAS  (R1, R2, R3)</t>
  </si>
  <si>
    <t>Indica la tabla de rutas de cada router para tener conectividad completa (todas las subredes + Internet)</t>
  </si>
  <si>
    <t>🔀  Tabla de rutas: R1</t>
  </si>
  <si>
    <t>Dirección destino</t>
  </si>
  <si>
    <t>Siguiente salto</t>
  </si>
  <si>
    <t>Tipo</t>
  </si>
  <si>
    <t>🔀  Tabla de rutas: R2</t>
  </si>
  <si>
    <t>🔀  Tabla de rutas: R3</t>
  </si>
  <si>
    <t>LEYENDA DE COLORES</t>
  </si>
  <si>
    <t>Ejemplo</t>
  </si>
  <si>
    <t>Celda de enunciado / instrucción (NO modificar)</t>
  </si>
  <si>
    <t>✏️  Celda a RELLENAR por el alumno</t>
  </si>
  <si>
    <t>🔢  Celda calculada AUTOMÁTICAMENTE (no modificar)</t>
  </si>
  <si>
    <t>Encabezado de tabla</t>
  </si>
  <si>
    <t>Encabezado de sección</t>
  </si>
  <si>
    <t>Estudiante 5</t>
  </si>
  <si>
    <t>Estudiante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</si>
</sst>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000000"/>
      <name val="Arial"/>
      <charset val="1"/>
    </font>
    <font>
      <b/>
      <sz val="10"/>
      <color rgb="FF856404"/>
      <name val="Arial"/>
      <charset val="1"/>
    </font>
    <font>
      <i/>
      <sz val="10"/>
      <color rgb="FF795548"/>
      <name val="Arial"/>
      <charset val="1"/>
    </font>
    <font>
      <sz val="10"/>
      <color rgb="FF1A1A2E"/>
      <name val="Arial"/>
      <charset val="1"/>
    </font>
    <font>
      <b/>
      <sz val="10"/>
      <color rgb="FF1B5E20"/>
      <name val="Arial"/>
      <charset val="1"/>
    </font>
    <font>
      <b/>
      <sz val="10"/>
      <color rgb="FF1F4E79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i/>
      <sz val="10"/>
      <color rgb="FF856404"/>
      <name val="Arial"/>
      <charset val="1"/>
    </font>
    <font>
      <i/>
      <sz val="10"/>
      <color rgb="FF888888"/>
      <name val="Arial"/>
      <charset val="1"/>
    </font>
    <font>
      <b/>
      <i/>
      <sz val="10"/>
      <color rgb="FF555555"/>
      <name val="Arial"/>
      <charset val="1"/>
    </font>
    <font>
      <b/>
      <sz val="13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0F4F8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3F2FD"/>
      </patternFill>
    </fill>
    <fill>
      <patternFill patternType="solid">
        <fgColor rgb="FFFFFDE7"/>
        <bgColor rgb="FFFFF8E1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F0F4F8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EBF3FB"/>
      </patternFill>
    </fill>
    <fill>
      <patternFill patternType="solid">
        <fgColor rgb="FFF5F5F5"/>
        <bgColor rgb="FFF0F4F8"/>
      </patternFill>
    </fill>
    <fill>
      <patternFill patternType="solid">
        <fgColor rgb="FFEEEEEE"/>
        <bgColor rgb="FFF0F4F8"/>
      </patternFill>
    </fill>
  </fills>
  <borders count="3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11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56404"/>
      <rgbColor rgb="FF800080"/>
      <rgbColor rgb="FF008080"/>
      <rgbColor rgb="FFB0C4DE"/>
      <rgbColor rgb="FF888888"/>
      <rgbColor rgb="FF9999FF"/>
      <rgbColor rgb="FF795548"/>
      <rgbColor rgb="FFFFF8E1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CD"/>
      <rgbColor rgb="FFF0F4F8"/>
      <rgbColor rgb="FFF5F5F5"/>
      <rgbColor rgb="FFCC99FF"/>
      <rgbColor rgb="FFEEEEE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zoomScaleNormal="100" workbookViewId="0">
      <pane ySplit="2" topLeftCell="A34" activePane="bottomLeft" state="frozen"/>
      <selection pane="bottomLeft" activeCell="J10" sqref="J10"/>
    </sheetView>
  </sheetViews>
  <sheetFormatPr baseColWidth="10" defaultColWidth="8.6328125" defaultRowHeight="14.5" x14ac:dyDescent="0.35"/>
  <cols>
    <col min="1" max="1" width="14" customWidth="1"/>
    <col min="2" max="2" width="18" customWidth="1"/>
    <col min="3" max="4" width="10" customWidth="1"/>
    <col min="5" max="5" width="18" customWidth="1"/>
    <col min="6" max="7" width="12" customWidth="1"/>
    <col min="8" max="8" width="10" customWidth="1"/>
    <col min="9" max="9" width="21.81640625" customWidth="1"/>
  </cols>
  <sheetData>
    <row r="1" spans="1:16" ht="30" customHeight="1" x14ac:dyDescent="0.35">
      <c r="A1" s="35" t="s">
        <v>0</v>
      </c>
      <c r="B1" s="35"/>
      <c r="C1" s="35"/>
      <c r="D1" s="35"/>
      <c r="E1" s="35"/>
      <c r="F1" s="35"/>
      <c r="G1" s="35"/>
      <c r="H1" s="35"/>
    </row>
    <row r="2" spans="1:16" ht="15.75" customHeight="1" x14ac:dyDescent="0.35">
      <c r="A2" s="36" t="s">
        <v>1</v>
      </c>
      <c r="B2" s="36"/>
      <c r="C2" s="36"/>
      <c r="D2" s="36"/>
      <c r="E2" s="36"/>
      <c r="F2" s="36"/>
      <c r="G2" s="36"/>
      <c r="H2" s="36"/>
    </row>
    <row r="4" spans="1:16" x14ac:dyDescent="0.35">
      <c r="A4" s="29" t="s">
        <v>2</v>
      </c>
      <c r="B4" s="29"/>
      <c r="C4" s="29"/>
      <c r="D4" s="29"/>
      <c r="E4" s="29"/>
      <c r="F4" s="29"/>
      <c r="G4" s="29"/>
      <c r="H4" s="29"/>
    </row>
    <row r="5" spans="1:16" ht="15" customHeight="1" x14ac:dyDescent="0.35">
      <c r="A5" s="3"/>
      <c r="B5" s="20" t="s">
        <v>3</v>
      </c>
      <c r="C5" s="20"/>
      <c r="D5" s="20"/>
      <c r="E5" s="20"/>
      <c r="F5" s="20" t="s">
        <v>4</v>
      </c>
      <c r="G5" s="20"/>
      <c r="H5" s="20"/>
      <c r="J5" s="20" t="s">
        <v>3</v>
      </c>
      <c r="K5" s="20"/>
      <c r="L5" s="20"/>
      <c r="M5" s="20"/>
      <c r="N5" s="20" t="s">
        <v>4</v>
      </c>
      <c r="O5" s="20"/>
      <c r="P5" s="20"/>
    </row>
    <row r="6" spans="1:16" ht="19.5" customHeight="1" x14ac:dyDescent="0.35">
      <c r="A6" s="4" t="s">
        <v>5</v>
      </c>
      <c r="B6" s="21"/>
      <c r="C6" s="21"/>
      <c r="D6" s="21"/>
      <c r="E6" s="21"/>
      <c r="F6" s="21"/>
      <c r="G6" s="21"/>
      <c r="H6" s="21"/>
      <c r="I6" s="4" t="s">
        <v>114</v>
      </c>
      <c r="J6" s="21"/>
      <c r="K6" s="21"/>
      <c r="L6" s="21"/>
      <c r="M6" s="21"/>
      <c r="N6" s="21"/>
      <c r="O6" s="21"/>
      <c r="P6" s="21"/>
    </row>
    <row r="7" spans="1:16" ht="19.5" customHeight="1" x14ac:dyDescent="0.35">
      <c r="A7" s="4" t="s">
        <v>6</v>
      </c>
      <c r="B7" s="21"/>
      <c r="C7" s="21"/>
      <c r="D7" s="21"/>
      <c r="E7" s="21"/>
      <c r="F7" s="21"/>
      <c r="G7" s="21"/>
      <c r="H7" s="21"/>
      <c r="I7" s="4" t="s">
        <v>115</v>
      </c>
      <c r="J7" s="21"/>
      <c r="K7" s="21"/>
      <c r="L7" s="21"/>
      <c r="M7" s="21"/>
      <c r="N7" s="21"/>
      <c r="O7" s="21"/>
      <c r="P7" s="21"/>
    </row>
    <row r="8" spans="1:16" ht="19.5" customHeight="1" x14ac:dyDescent="0.35">
      <c r="A8" s="4" t="s">
        <v>7</v>
      </c>
      <c r="B8" s="21"/>
      <c r="C8" s="21"/>
      <c r="D8" s="21"/>
      <c r="E8" s="21"/>
      <c r="F8" s="21"/>
      <c r="G8" s="21"/>
      <c r="H8" s="21"/>
    </row>
    <row r="9" spans="1:16" ht="19.5" customHeight="1" x14ac:dyDescent="0.35">
      <c r="A9" s="4" t="s">
        <v>8</v>
      </c>
      <c r="B9" s="21"/>
      <c r="C9" s="21"/>
      <c r="D9" s="21"/>
      <c r="E9" s="21"/>
      <c r="F9" s="21"/>
      <c r="G9" s="21"/>
      <c r="H9" s="21"/>
    </row>
    <row r="10" spans="1:16" ht="21.75" customHeight="1" x14ac:dyDescent="0.35">
      <c r="A10" s="33" t="s">
        <v>9</v>
      </c>
      <c r="B10" s="33"/>
      <c r="C10" s="33"/>
      <c r="D10" s="33"/>
      <c r="E10" s="33"/>
      <c r="F10" s="21"/>
      <c r="G10" s="21"/>
      <c r="H10" s="21"/>
    </row>
    <row r="11" spans="1:16" ht="24" customHeight="1" x14ac:dyDescent="0.35">
      <c r="A11" s="34" t="s">
        <v>10</v>
      </c>
      <c r="B11" s="34"/>
      <c r="C11" s="34"/>
      <c r="D11" s="34"/>
      <c r="E11" s="34"/>
      <c r="F11" s="34"/>
      <c r="G11" s="34"/>
      <c r="H11" s="34"/>
    </row>
    <row r="13" spans="1:16" x14ac:dyDescent="0.35">
      <c r="A13" s="29" t="s">
        <v>11</v>
      </c>
      <c r="B13" s="29"/>
      <c r="C13" s="29"/>
      <c r="D13" s="29"/>
      <c r="E13" s="29"/>
      <c r="F13" s="29"/>
      <c r="G13" s="29"/>
      <c r="H13" s="29"/>
    </row>
    <row r="14" spans="1:16" ht="19.5" customHeight="1" x14ac:dyDescent="0.35">
      <c r="A14" s="32" t="s">
        <v>12</v>
      </c>
      <c r="B14" s="32"/>
      <c r="C14" s="32"/>
      <c r="D14" s="32"/>
      <c r="E14" s="32"/>
      <c r="F14" s="23" t="str">
        <f>IF(F10="","",MOD(F10,4))</f>
        <v/>
      </c>
      <c r="G14" s="23"/>
      <c r="H14" s="23"/>
    </row>
    <row r="15" spans="1:16" ht="19.5" customHeight="1" x14ac:dyDescent="0.35">
      <c r="A15" s="31" t="s">
        <v>13</v>
      </c>
      <c r="B15" s="31"/>
      <c r="C15" s="31"/>
      <c r="D15" s="31"/>
      <c r="E15" s="31"/>
      <c r="F15" s="23" t="str">
        <f>IF(F10="","",INT(F10/4))</f>
        <v/>
      </c>
      <c r="G15" s="23"/>
      <c r="H15" s="23"/>
    </row>
    <row r="16" spans="1:16" ht="19.5" customHeight="1" x14ac:dyDescent="0.35">
      <c r="A16" s="31" t="s">
        <v>14</v>
      </c>
      <c r="B16" s="31"/>
      <c r="C16" s="31"/>
      <c r="D16" s="31"/>
      <c r="E16" s="31"/>
      <c r="F16" s="23" t="str">
        <f>IF(F15="","",MOD(F15,12))</f>
        <v/>
      </c>
      <c r="G16" s="23"/>
      <c r="H16" s="23"/>
    </row>
    <row r="18" spans="1:8" x14ac:dyDescent="0.35">
      <c r="A18" s="29" t="s">
        <v>15</v>
      </c>
      <c r="B18" s="29"/>
      <c r="C18" s="29"/>
      <c r="D18" s="29"/>
      <c r="E18" s="29"/>
      <c r="F18" s="29"/>
      <c r="G18" s="29"/>
      <c r="H18" s="29"/>
    </row>
    <row r="19" spans="1:8" ht="15" customHeight="1" x14ac:dyDescent="0.35">
      <c r="A19" s="3" t="s">
        <v>16</v>
      </c>
      <c r="B19" s="20" t="s">
        <v>17</v>
      </c>
      <c r="C19" s="20"/>
      <c r="E19" s="20" t="s">
        <v>18</v>
      </c>
      <c r="F19" s="20"/>
      <c r="G19" s="20"/>
    </row>
    <row r="20" spans="1:8" ht="18" customHeight="1" x14ac:dyDescent="0.35">
      <c r="A20" s="2">
        <v>0</v>
      </c>
      <c r="B20" s="30" t="s">
        <v>19</v>
      </c>
      <c r="C20" s="30"/>
      <c r="D20" s="30"/>
      <c r="E20" s="30" t="s">
        <v>20</v>
      </c>
      <c r="F20" s="30"/>
      <c r="G20" s="30"/>
      <c r="H20" s="30"/>
    </row>
    <row r="21" spans="1:8" ht="18" customHeight="1" x14ac:dyDescent="0.35">
      <c r="A21" s="1">
        <v>1</v>
      </c>
      <c r="B21" s="28" t="s">
        <v>19</v>
      </c>
      <c r="C21" s="28"/>
      <c r="D21" s="28"/>
      <c r="E21" s="28" t="s">
        <v>21</v>
      </c>
      <c r="F21" s="28"/>
      <c r="G21" s="28"/>
      <c r="H21" s="28"/>
    </row>
    <row r="22" spans="1:8" ht="18" customHeight="1" x14ac:dyDescent="0.35">
      <c r="A22" s="2">
        <v>2</v>
      </c>
      <c r="B22" s="30" t="s">
        <v>22</v>
      </c>
      <c r="C22" s="30"/>
      <c r="D22" s="30"/>
      <c r="E22" s="30" t="s">
        <v>20</v>
      </c>
      <c r="F22" s="30"/>
      <c r="G22" s="30"/>
      <c r="H22" s="30"/>
    </row>
    <row r="23" spans="1:8" ht="18" customHeight="1" x14ac:dyDescent="0.35">
      <c r="A23" s="1">
        <v>3</v>
      </c>
      <c r="B23" s="28" t="s">
        <v>22</v>
      </c>
      <c r="C23" s="28"/>
      <c r="D23" s="28"/>
      <c r="E23" s="28" t="s">
        <v>21</v>
      </c>
      <c r="F23" s="28"/>
      <c r="G23" s="28"/>
      <c r="H23" s="28"/>
    </row>
    <row r="24" spans="1:8" ht="21.75" customHeight="1" x14ac:dyDescent="0.35">
      <c r="A24" s="25" t="s">
        <v>23</v>
      </c>
      <c r="B24" s="25"/>
      <c r="C24" s="25"/>
      <c r="D24" s="25"/>
      <c r="E24" s="25"/>
      <c r="F24" s="23" t="str">
        <f>IF(F14="","",CHOOSE(F14+1,"Router 2 a Switch2 | Router 1 a Router 3","Router 2 a Switch2 | Router 1 a Router 2","Router 1 a Switch2 | Router 1 a Router 3","Router 1 a Switch2 | Router 1 a Router 2"))</f>
        <v/>
      </c>
      <c r="G24" s="23"/>
      <c r="H24" s="23"/>
    </row>
    <row r="26" spans="1:8" x14ac:dyDescent="0.35">
      <c r="A26" s="29" t="s">
        <v>24</v>
      </c>
      <c r="B26" s="29"/>
      <c r="C26" s="29"/>
      <c r="D26" s="29"/>
      <c r="E26" s="29"/>
      <c r="F26" s="29"/>
      <c r="G26" s="29"/>
      <c r="H26" s="29"/>
    </row>
    <row r="27" spans="1:8" ht="15" customHeight="1" x14ac:dyDescent="0.35">
      <c r="A27" s="3" t="s">
        <v>25</v>
      </c>
      <c r="B27" s="20" t="s">
        <v>26</v>
      </c>
      <c r="C27" s="20"/>
      <c r="D27" s="20" t="s">
        <v>27</v>
      </c>
      <c r="E27" s="20"/>
      <c r="F27" s="20" t="s">
        <v>28</v>
      </c>
      <c r="G27" s="20"/>
    </row>
    <row r="28" spans="1:8" ht="15.75" customHeight="1" x14ac:dyDescent="0.35">
      <c r="A28" s="5">
        <v>0</v>
      </c>
      <c r="B28" s="27">
        <v>60</v>
      </c>
      <c r="C28" s="27"/>
      <c r="D28" s="27">
        <v>210</v>
      </c>
      <c r="E28" s="27"/>
      <c r="F28" s="27">
        <v>94</v>
      </c>
      <c r="G28" s="27"/>
    </row>
    <row r="29" spans="1:8" ht="15.75" customHeight="1" x14ac:dyDescent="0.35">
      <c r="A29" s="6">
        <v>1</v>
      </c>
      <c r="B29" s="24">
        <v>190</v>
      </c>
      <c r="C29" s="24"/>
      <c r="D29" s="24">
        <v>26</v>
      </c>
      <c r="E29" s="24"/>
      <c r="F29" s="24">
        <v>320</v>
      </c>
      <c r="G29" s="24"/>
    </row>
    <row r="30" spans="1:8" ht="15.75" customHeight="1" x14ac:dyDescent="0.35">
      <c r="A30" s="5">
        <v>2</v>
      </c>
      <c r="B30" s="27">
        <v>26</v>
      </c>
      <c r="C30" s="27"/>
      <c r="D30" s="27">
        <v>190</v>
      </c>
      <c r="E30" s="27"/>
      <c r="F30" s="27">
        <v>320</v>
      </c>
      <c r="G30" s="27"/>
    </row>
    <row r="31" spans="1:8" ht="15.75" customHeight="1" x14ac:dyDescent="0.35">
      <c r="A31" s="6">
        <v>3</v>
      </c>
      <c r="B31" s="24">
        <v>60</v>
      </c>
      <c r="C31" s="24"/>
      <c r="D31" s="24">
        <v>94</v>
      </c>
      <c r="E31" s="24"/>
      <c r="F31" s="24">
        <v>210</v>
      </c>
      <c r="G31" s="24"/>
    </row>
    <row r="32" spans="1:8" ht="15.75" customHeight="1" x14ac:dyDescent="0.35">
      <c r="A32" s="5">
        <v>4</v>
      </c>
      <c r="B32" s="27">
        <v>94</v>
      </c>
      <c r="C32" s="27"/>
      <c r="D32" s="27">
        <v>60</v>
      </c>
      <c r="E32" s="27"/>
      <c r="F32" s="27">
        <v>210</v>
      </c>
      <c r="G32" s="27"/>
    </row>
    <row r="33" spans="1:8" ht="15.75" customHeight="1" x14ac:dyDescent="0.35">
      <c r="A33" s="6">
        <v>5</v>
      </c>
      <c r="B33" s="24">
        <v>190</v>
      </c>
      <c r="C33" s="24"/>
      <c r="D33" s="24">
        <v>80</v>
      </c>
      <c r="E33" s="24"/>
      <c r="F33" s="24">
        <v>500</v>
      </c>
      <c r="G33" s="24"/>
    </row>
    <row r="34" spans="1:8" ht="15.75" customHeight="1" x14ac:dyDescent="0.35">
      <c r="A34" s="5">
        <v>6</v>
      </c>
      <c r="B34" s="27">
        <v>26</v>
      </c>
      <c r="C34" s="27"/>
      <c r="D34" s="27">
        <v>320</v>
      </c>
      <c r="E34" s="27"/>
      <c r="F34" s="27">
        <v>190</v>
      </c>
      <c r="G34" s="27"/>
    </row>
    <row r="35" spans="1:8" ht="15.75" customHeight="1" x14ac:dyDescent="0.35">
      <c r="A35" s="6">
        <v>7</v>
      </c>
      <c r="B35" s="24">
        <v>80</v>
      </c>
      <c r="C35" s="24"/>
      <c r="D35" s="24">
        <v>190</v>
      </c>
      <c r="E35" s="24"/>
      <c r="F35" s="24">
        <v>500</v>
      </c>
      <c r="G35" s="24"/>
    </row>
    <row r="36" spans="1:8" ht="15.75" customHeight="1" x14ac:dyDescent="0.35">
      <c r="A36" s="5">
        <v>8</v>
      </c>
      <c r="B36" s="27">
        <v>94</v>
      </c>
      <c r="C36" s="27"/>
      <c r="D36" s="27">
        <v>210</v>
      </c>
      <c r="E36" s="27"/>
      <c r="F36" s="27">
        <v>60</v>
      </c>
      <c r="G36" s="27"/>
    </row>
    <row r="37" spans="1:8" ht="15.75" customHeight="1" x14ac:dyDescent="0.35">
      <c r="A37" s="6">
        <v>9</v>
      </c>
      <c r="B37" s="24">
        <v>190</v>
      </c>
      <c r="C37" s="24"/>
      <c r="D37" s="24">
        <v>320</v>
      </c>
      <c r="E37" s="24"/>
      <c r="F37" s="24">
        <v>26</v>
      </c>
      <c r="G37" s="24"/>
    </row>
    <row r="38" spans="1:8" ht="15.75" customHeight="1" x14ac:dyDescent="0.35">
      <c r="A38" s="5">
        <v>10</v>
      </c>
      <c r="B38" s="27">
        <v>190</v>
      </c>
      <c r="C38" s="27"/>
      <c r="D38" s="27">
        <v>500</v>
      </c>
      <c r="E38" s="27"/>
      <c r="F38" s="27">
        <v>80</v>
      </c>
      <c r="G38" s="27"/>
    </row>
    <row r="39" spans="1:8" ht="15.75" customHeight="1" x14ac:dyDescent="0.35">
      <c r="A39" s="6">
        <v>11</v>
      </c>
      <c r="B39" s="24">
        <v>80</v>
      </c>
      <c r="C39" s="24"/>
      <c r="D39" s="24">
        <v>500</v>
      </c>
      <c r="E39" s="24"/>
      <c r="F39" s="24">
        <v>190</v>
      </c>
      <c r="G39" s="24"/>
    </row>
    <row r="41" spans="1:8" ht="18" customHeight="1" x14ac:dyDescent="0.35">
      <c r="A41" s="25" t="s">
        <v>29</v>
      </c>
      <c r="B41" s="25"/>
      <c r="C41" s="26" t="s">
        <v>30</v>
      </c>
      <c r="D41" s="26"/>
      <c r="E41" s="26" t="s">
        <v>31</v>
      </c>
      <c r="F41" s="26"/>
      <c r="G41" s="26" t="s">
        <v>32</v>
      </c>
      <c r="H41" s="26"/>
    </row>
    <row r="42" spans="1:8" ht="21.75" customHeight="1" x14ac:dyDescent="0.35">
      <c r="A42" s="22"/>
      <c r="B42" s="22"/>
      <c r="C42" s="23" t="str">
        <f>IF(F16="","",CHOOSE(F16+1,60,190,26,60,94,190,26,80,94,190,190,80))</f>
        <v/>
      </c>
      <c r="D42" s="23"/>
      <c r="E42" s="23" t="str">
        <f>IF(F16="","",CHOOSE(F16+1,210,26,190,94,60,80,320,190,210,320,500,500))</f>
        <v/>
      </c>
      <c r="F42" s="23"/>
      <c r="G42" s="23" t="str">
        <f>IF(F16="","",CHOOSE(F16+1,94,320,320,210,210,500,190,500,60,26,80,190))</f>
        <v/>
      </c>
      <c r="H42" s="23"/>
    </row>
  </sheetData>
  <mergeCells count="90">
    <mergeCell ref="A1:H1"/>
    <mergeCell ref="A2:H2"/>
    <mergeCell ref="A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A10:E10"/>
    <mergeCell ref="F10:H10"/>
    <mergeCell ref="A11:H11"/>
    <mergeCell ref="A13:H13"/>
    <mergeCell ref="A14:E14"/>
    <mergeCell ref="F14:H14"/>
    <mergeCell ref="A15:E15"/>
    <mergeCell ref="F15:H15"/>
    <mergeCell ref="A16:E16"/>
    <mergeCell ref="F16:H16"/>
    <mergeCell ref="A18:H18"/>
    <mergeCell ref="B19:C19"/>
    <mergeCell ref="E19:G19"/>
    <mergeCell ref="B20:D20"/>
    <mergeCell ref="E20:H20"/>
    <mergeCell ref="B21:D21"/>
    <mergeCell ref="E21:H21"/>
    <mergeCell ref="B22:D22"/>
    <mergeCell ref="E22:H22"/>
    <mergeCell ref="B23:D23"/>
    <mergeCell ref="E23:H23"/>
    <mergeCell ref="A24:E24"/>
    <mergeCell ref="F24:H24"/>
    <mergeCell ref="A26:H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D38:E38"/>
    <mergeCell ref="F38:G38"/>
    <mergeCell ref="B35:C35"/>
    <mergeCell ref="D35:E35"/>
    <mergeCell ref="F35:G35"/>
    <mergeCell ref="B36:C36"/>
    <mergeCell ref="D36:E36"/>
    <mergeCell ref="F36:G36"/>
    <mergeCell ref="A42:B42"/>
    <mergeCell ref="C42:D42"/>
    <mergeCell ref="E42:F42"/>
    <mergeCell ref="G42:H42"/>
    <mergeCell ref="J5:M5"/>
    <mergeCell ref="B39:C39"/>
    <mergeCell ref="D39:E39"/>
    <mergeCell ref="F39:G39"/>
    <mergeCell ref="A41:B41"/>
    <mergeCell ref="C41:D41"/>
    <mergeCell ref="E41:F41"/>
    <mergeCell ref="G41:H41"/>
    <mergeCell ref="B37:C37"/>
    <mergeCell ref="D37:E37"/>
    <mergeCell ref="F37:G37"/>
    <mergeCell ref="B38:C38"/>
    <mergeCell ref="N5:P5"/>
    <mergeCell ref="J6:M6"/>
    <mergeCell ref="N6:P6"/>
    <mergeCell ref="J7:M7"/>
    <mergeCell ref="N7:P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8.6328125" defaultRowHeight="14.5" x14ac:dyDescent="0.35"/>
  <cols>
    <col min="1" max="1" width="16" customWidth="1"/>
    <col min="2" max="2" width="12" customWidth="1"/>
    <col min="3" max="3" width="20" customWidth="1"/>
    <col min="4" max="6" width="18" customWidth="1"/>
    <col min="7" max="7" width="26" customWidth="1"/>
    <col min="8" max="8" width="16" customWidth="1"/>
  </cols>
  <sheetData>
    <row r="1" spans="1:8" ht="27.75" customHeight="1" x14ac:dyDescent="0.35">
      <c r="A1" s="37" t="s">
        <v>33</v>
      </c>
      <c r="B1" s="37"/>
      <c r="C1" s="37"/>
      <c r="D1" s="37"/>
      <c r="E1" s="37"/>
      <c r="F1" s="37"/>
      <c r="G1" s="37"/>
      <c r="H1" s="37"/>
    </row>
    <row r="2" spans="1:8" ht="31.5" customHeight="1" x14ac:dyDescent="0.35">
      <c r="A2" s="38" t="s">
        <v>34</v>
      </c>
      <c r="B2" s="38"/>
      <c r="C2" s="38"/>
      <c r="D2" s="38"/>
      <c r="E2" s="38"/>
      <c r="F2" s="38"/>
      <c r="G2" s="38"/>
      <c r="H2" s="38"/>
    </row>
    <row r="4" spans="1:8" ht="36" customHeight="1" x14ac:dyDescent="0.3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</row>
    <row r="5" spans="1:8" ht="21.75" customHeight="1" x14ac:dyDescent="0.35">
      <c r="A5" s="4" t="s">
        <v>43</v>
      </c>
      <c r="B5" s="7" t="str">
        <f>IF('1. Datos y Cálculos'!C42="","Ver hoja 1", '1. Datos y Cálculos'!C42)</f>
        <v>Ver hoja 1</v>
      </c>
      <c r="C5" s="8"/>
      <c r="D5" s="8"/>
      <c r="E5" s="8"/>
      <c r="F5" s="8"/>
      <c r="G5" s="8"/>
      <c r="H5" s="9"/>
    </row>
    <row r="6" spans="1:8" ht="21.75" customHeight="1" x14ac:dyDescent="0.35">
      <c r="A6" s="4" t="s">
        <v>44</v>
      </c>
      <c r="B6" s="7" t="str">
        <f>IF('1. Datos y Cálculos'!E42="","Ver hoja 1", '1. Datos y Cálculos'!E42)</f>
        <v>Ver hoja 1</v>
      </c>
      <c r="C6" s="8"/>
      <c r="D6" s="8"/>
      <c r="E6" s="8"/>
      <c r="F6" s="8"/>
      <c r="G6" s="8"/>
      <c r="H6" s="9"/>
    </row>
    <row r="7" spans="1:8" ht="21.75" customHeight="1" x14ac:dyDescent="0.35">
      <c r="A7" s="4" t="s">
        <v>45</v>
      </c>
      <c r="B7" s="7" t="str">
        <f>IF('1. Datos y Cálculos'!G42="","Ver hoja 1", '1. Datos y Cálculos'!G42)</f>
        <v>Ver hoja 1</v>
      </c>
      <c r="C7" s="8"/>
      <c r="D7" s="8"/>
      <c r="E7" s="8"/>
      <c r="F7" s="8"/>
      <c r="G7" s="8"/>
      <c r="H7" s="9"/>
    </row>
    <row r="8" spans="1:8" ht="21.75" customHeight="1" x14ac:dyDescent="0.35">
      <c r="A8" s="4" t="s">
        <v>46</v>
      </c>
      <c r="B8" s="7" t="s">
        <v>47</v>
      </c>
      <c r="C8" s="8"/>
      <c r="D8" s="8"/>
      <c r="E8" s="8"/>
      <c r="F8" s="8"/>
      <c r="G8" s="8"/>
      <c r="H8" s="9" t="s">
        <v>48</v>
      </c>
    </row>
    <row r="9" spans="1:8" ht="21.75" customHeight="1" x14ac:dyDescent="0.35">
      <c r="A9" s="4" t="s">
        <v>49</v>
      </c>
      <c r="B9" s="7" t="s">
        <v>50</v>
      </c>
      <c r="C9" s="8"/>
      <c r="D9" s="8"/>
      <c r="E9" s="8"/>
      <c r="F9" s="8"/>
      <c r="G9" s="8"/>
      <c r="H9" s="9" t="s">
        <v>48</v>
      </c>
    </row>
    <row r="10" spans="1:8" ht="21.75" customHeight="1" x14ac:dyDescent="0.35">
      <c r="A10" s="4" t="s">
        <v>51</v>
      </c>
      <c r="B10" s="8"/>
      <c r="C10" s="8"/>
      <c r="D10" s="8"/>
      <c r="E10" s="8"/>
      <c r="F10" s="8"/>
      <c r="G10" s="8"/>
      <c r="H10" s="9"/>
    </row>
    <row r="11" spans="1:8" ht="21.75" customHeight="1" x14ac:dyDescent="0.35">
      <c r="A11" s="4" t="s">
        <v>52</v>
      </c>
      <c r="B11" s="8"/>
      <c r="C11" s="8"/>
      <c r="D11" s="8"/>
      <c r="E11" s="8"/>
      <c r="F11" s="8"/>
      <c r="G11" s="8"/>
      <c r="H11" s="9" t="s">
        <v>53</v>
      </c>
    </row>
    <row r="12" spans="1:8" ht="21.75" customHeight="1" x14ac:dyDescent="0.35">
      <c r="A12" s="4" t="s">
        <v>54</v>
      </c>
      <c r="B12" s="8"/>
      <c r="C12" s="8"/>
      <c r="D12" s="8"/>
      <c r="E12" s="8"/>
      <c r="F12" s="8"/>
      <c r="G12" s="8"/>
      <c r="H12" s="9" t="s">
        <v>53</v>
      </c>
    </row>
    <row r="13" spans="1:8" ht="21.75" customHeight="1" x14ac:dyDescent="0.35">
      <c r="A13" s="4" t="s">
        <v>55</v>
      </c>
      <c r="B13" s="8"/>
      <c r="C13" s="8"/>
      <c r="D13" s="8"/>
      <c r="E13" s="8"/>
      <c r="F13" s="8"/>
      <c r="G13" s="8"/>
      <c r="H13" s="9" t="s">
        <v>53</v>
      </c>
    </row>
    <row r="14" spans="1:8" ht="21.75" customHeight="1" x14ac:dyDescent="0.35">
      <c r="A14" s="4" t="s">
        <v>56</v>
      </c>
      <c r="B14" s="8"/>
      <c r="C14" s="8"/>
      <c r="D14" s="8"/>
      <c r="E14" s="8"/>
      <c r="F14" s="8"/>
      <c r="G14" s="8"/>
      <c r="H14" s="9" t="s">
        <v>53</v>
      </c>
    </row>
    <row r="15" spans="1:8" ht="21.75" customHeight="1" x14ac:dyDescent="0.35">
      <c r="A15" s="4" t="s">
        <v>57</v>
      </c>
      <c r="B15" s="8"/>
      <c r="C15" s="8"/>
      <c r="D15" s="8"/>
      <c r="E15" s="8"/>
      <c r="F15" s="8"/>
      <c r="G15" s="8"/>
      <c r="H15" s="9" t="s">
        <v>53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zoomScaleNormal="100" workbookViewId="0">
      <pane ySplit="4" topLeftCell="A22" activePane="bottomLeft" state="frozen"/>
      <selection pane="bottomLeft" sqref="A1:F1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4" width="18" customWidth="1"/>
    <col min="5" max="5" width="14" customWidth="1"/>
    <col min="6" max="6" width="18" customWidth="1"/>
  </cols>
  <sheetData>
    <row r="1" spans="1:6" ht="27.75" customHeight="1" x14ac:dyDescent="0.35">
      <c r="A1" s="37" t="s">
        <v>58</v>
      </c>
      <c r="B1" s="37"/>
      <c r="C1" s="37"/>
      <c r="D1" s="37"/>
      <c r="E1" s="37"/>
      <c r="F1" s="37"/>
    </row>
    <row r="3" spans="1:6" x14ac:dyDescent="0.35">
      <c r="A3" s="29" t="s">
        <v>59</v>
      </c>
      <c r="B3" s="29"/>
      <c r="C3" s="29"/>
      <c r="D3" s="29"/>
      <c r="E3" s="29"/>
      <c r="F3" s="29"/>
    </row>
    <row r="4" spans="1:6" ht="27.75" customHeight="1" x14ac:dyDescent="0.35">
      <c r="A4" s="3" t="s">
        <v>60</v>
      </c>
      <c r="B4" s="3" t="s">
        <v>61</v>
      </c>
      <c r="C4" s="3" t="s">
        <v>62</v>
      </c>
      <c r="D4" s="3" t="s">
        <v>38</v>
      </c>
      <c r="E4" s="3" t="s">
        <v>63</v>
      </c>
      <c r="F4" s="3" t="s">
        <v>64</v>
      </c>
    </row>
    <row r="5" spans="1:6" ht="19.5" customHeight="1" x14ac:dyDescent="0.35">
      <c r="A5" s="4" t="s">
        <v>65</v>
      </c>
      <c r="B5" s="10" t="s">
        <v>66</v>
      </c>
      <c r="C5" s="11"/>
      <c r="D5" s="11"/>
      <c r="E5" s="11"/>
      <c r="F5" s="11"/>
    </row>
    <row r="6" spans="1:6" ht="19.5" customHeight="1" x14ac:dyDescent="0.35">
      <c r="A6" s="4" t="s">
        <v>67</v>
      </c>
      <c r="B6" s="10" t="s">
        <v>66</v>
      </c>
      <c r="C6" s="11"/>
      <c r="D6" s="11"/>
      <c r="E6" s="11"/>
      <c r="F6" s="11"/>
    </row>
    <row r="7" spans="1:6" ht="19.5" customHeight="1" x14ac:dyDescent="0.35">
      <c r="A7" s="4" t="s">
        <v>68</v>
      </c>
      <c r="B7" s="10" t="s">
        <v>66</v>
      </c>
      <c r="C7" s="11"/>
      <c r="D7" s="11"/>
      <c r="E7" s="11"/>
      <c r="F7" s="11"/>
    </row>
    <row r="8" spans="1:6" ht="19.5" customHeight="1" x14ac:dyDescent="0.35">
      <c r="A8" s="4" t="s">
        <v>69</v>
      </c>
      <c r="B8" s="10" t="s">
        <v>66</v>
      </c>
      <c r="C8" s="11"/>
      <c r="D8" s="11"/>
      <c r="E8" s="11"/>
      <c r="F8" s="11"/>
    </row>
    <row r="9" spans="1:6" ht="19.5" customHeight="1" x14ac:dyDescent="0.35">
      <c r="A9" s="4" t="s">
        <v>70</v>
      </c>
      <c r="B9" s="10" t="s">
        <v>66</v>
      </c>
      <c r="C9" s="11"/>
      <c r="D9" s="11"/>
      <c r="E9" s="11"/>
      <c r="F9" s="11"/>
    </row>
    <row r="10" spans="1:6" ht="19.5" customHeight="1" x14ac:dyDescent="0.35">
      <c r="A10" s="4" t="s">
        <v>71</v>
      </c>
      <c r="B10" s="10" t="s">
        <v>66</v>
      </c>
      <c r="C10" s="11"/>
      <c r="D10" s="11"/>
      <c r="E10" s="11"/>
      <c r="F10" s="11"/>
    </row>
    <row r="11" spans="1:6" ht="19.5" customHeight="1" x14ac:dyDescent="0.35">
      <c r="A11" s="4" t="s">
        <v>72</v>
      </c>
      <c r="B11" s="10" t="s">
        <v>66</v>
      </c>
      <c r="C11" s="11"/>
      <c r="D11" s="11"/>
      <c r="E11" s="11"/>
      <c r="F11" s="11"/>
    </row>
    <row r="12" spans="1:6" ht="19.5" customHeight="1" x14ac:dyDescent="0.35">
      <c r="A12" s="4" t="s">
        <v>73</v>
      </c>
      <c r="B12" s="10" t="s">
        <v>66</v>
      </c>
      <c r="C12" s="11"/>
      <c r="D12" s="11"/>
      <c r="E12" s="11"/>
      <c r="F12" s="11"/>
    </row>
    <row r="13" spans="1:6" ht="19.5" customHeight="1" x14ac:dyDescent="0.35">
      <c r="A13" s="4" t="s">
        <v>74</v>
      </c>
      <c r="B13" s="10" t="s">
        <v>66</v>
      </c>
      <c r="C13" s="11"/>
      <c r="D13" s="11"/>
      <c r="E13" s="11"/>
      <c r="F13" s="11"/>
    </row>
    <row r="14" spans="1:6" ht="19.5" customHeight="1" x14ac:dyDescent="0.35">
      <c r="A14" s="4" t="s">
        <v>75</v>
      </c>
      <c r="B14" s="10" t="s">
        <v>66</v>
      </c>
      <c r="C14" s="11"/>
      <c r="D14" s="11"/>
      <c r="E14" s="11"/>
      <c r="F14" s="11"/>
    </row>
    <row r="16" spans="1:6" x14ac:dyDescent="0.35">
      <c r="A16" s="29" t="s">
        <v>76</v>
      </c>
      <c r="B16" s="29"/>
      <c r="C16" s="29"/>
      <c r="D16" s="29"/>
      <c r="E16" s="29"/>
      <c r="F16" s="29"/>
    </row>
    <row r="17" spans="1:6" ht="27.75" customHeight="1" x14ac:dyDescent="0.35">
      <c r="A17" s="3" t="s">
        <v>60</v>
      </c>
      <c r="B17" s="3" t="s">
        <v>61</v>
      </c>
      <c r="C17" s="3" t="s">
        <v>62</v>
      </c>
      <c r="D17" s="3" t="s">
        <v>38</v>
      </c>
      <c r="E17" s="3" t="s">
        <v>63</v>
      </c>
      <c r="F17" s="3" t="s">
        <v>64</v>
      </c>
    </row>
    <row r="18" spans="1:6" ht="19.5" customHeight="1" x14ac:dyDescent="0.35">
      <c r="A18" s="12" t="s">
        <v>77</v>
      </c>
      <c r="B18" s="12" t="s">
        <v>66</v>
      </c>
      <c r="C18" s="12" t="s">
        <v>78</v>
      </c>
      <c r="D18" s="12" t="s">
        <v>79</v>
      </c>
      <c r="E18" s="12" t="s">
        <v>80</v>
      </c>
      <c r="F18" s="12" t="s">
        <v>81</v>
      </c>
    </row>
    <row r="19" spans="1:6" ht="19.5" customHeight="1" x14ac:dyDescent="0.35">
      <c r="A19" s="13" t="s">
        <v>82</v>
      </c>
      <c r="B19" s="13" t="s">
        <v>66</v>
      </c>
      <c r="C19" s="13" t="s">
        <v>83</v>
      </c>
      <c r="D19" s="13" t="s">
        <v>79</v>
      </c>
      <c r="E19" s="13" t="s">
        <v>80</v>
      </c>
      <c r="F19" s="13" t="s">
        <v>78</v>
      </c>
    </row>
    <row r="20" spans="1:6" ht="19.5" customHeight="1" x14ac:dyDescent="0.35">
      <c r="A20" s="12" t="s">
        <v>84</v>
      </c>
      <c r="B20" s="12" t="s">
        <v>66</v>
      </c>
      <c r="C20" s="12" t="s">
        <v>85</v>
      </c>
      <c r="D20" s="12" t="s">
        <v>79</v>
      </c>
      <c r="E20" s="12" t="s">
        <v>80</v>
      </c>
      <c r="F20" s="12" t="s">
        <v>78</v>
      </c>
    </row>
    <row r="22" spans="1:6" x14ac:dyDescent="0.35">
      <c r="A22" s="29" t="s">
        <v>86</v>
      </c>
      <c r="B22" s="29"/>
      <c r="C22" s="29"/>
      <c r="D22" s="29"/>
      <c r="E22" s="29"/>
    </row>
    <row r="23" spans="1:6" ht="27.75" customHeight="1" x14ac:dyDescent="0.35">
      <c r="A23" s="3" t="s">
        <v>60</v>
      </c>
      <c r="B23" s="3" t="s">
        <v>61</v>
      </c>
      <c r="C23" s="3" t="s">
        <v>62</v>
      </c>
      <c r="D23" s="3" t="s">
        <v>38</v>
      </c>
      <c r="E23" s="3" t="s">
        <v>42</v>
      </c>
    </row>
    <row r="24" spans="1:6" ht="19.5" customHeight="1" x14ac:dyDescent="0.35">
      <c r="A24" s="14" t="s">
        <v>87</v>
      </c>
      <c r="B24" s="13" t="s">
        <v>88</v>
      </c>
      <c r="C24" s="13" t="s">
        <v>80</v>
      </c>
      <c r="D24" s="13" t="s">
        <v>79</v>
      </c>
      <c r="E24" s="13" t="s">
        <v>89</v>
      </c>
    </row>
    <row r="25" spans="1:6" ht="19.5" customHeight="1" x14ac:dyDescent="0.35">
      <c r="A25" s="14" t="s">
        <v>87</v>
      </c>
      <c r="B25" s="13" t="s">
        <v>90</v>
      </c>
      <c r="C25" s="13" t="s">
        <v>91</v>
      </c>
      <c r="D25" s="13" t="s">
        <v>92</v>
      </c>
      <c r="E25" s="13" t="s">
        <v>89</v>
      </c>
    </row>
    <row r="26" spans="1:6" ht="19.5" customHeight="1" x14ac:dyDescent="0.35">
      <c r="A26" s="4" t="s">
        <v>93</v>
      </c>
      <c r="B26" s="15" t="s">
        <v>90</v>
      </c>
      <c r="C26" s="11"/>
      <c r="D26" s="11"/>
      <c r="E26" s="2"/>
    </row>
    <row r="27" spans="1:6" ht="19.5" customHeight="1" x14ac:dyDescent="0.35">
      <c r="A27" s="4" t="s">
        <v>93</v>
      </c>
      <c r="B27" s="16" t="s">
        <v>94</v>
      </c>
      <c r="C27" s="11"/>
      <c r="D27" s="11"/>
      <c r="E27" s="1"/>
    </row>
    <row r="28" spans="1:6" ht="19.5" customHeight="1" x14ac:dyDescent="0.35">
      <c r="A28" s="4" t="s">
        <v>93</v>
      </c>
      <c r="B28" s="15" t="s">
        <v>95</v>
      </c>
      <c r="C28" s="11"/>
      <c r="D28" s="11"/>
      <c r="E28" s="2"/>
    </row>
    <row r="29" spans="1:6" ht="19.5" customHeight="1" x14ac:dyDescent="0.35">
      <c r="A29" s="4" t="s">
        <v>93</v>
      </c>
      <c r="B29" s="16" t="s">
        <v>88</v>
      </c>
      <c r="C29" s="11"/>
      <c r="D29" s="11"/>
      <c r="E29" s="1"/>
    </row>
    <row r="30" spans="1:6" ht="19.5" customHeight="1" x14ac:dyDescent="0.35">
      <c r="A30" s="4" t="s">
        <v>93</v>
      </c>
      <c r="B30" s="15" t="s">
        <v>96</v>
      </c>
      <c r="C30" s="11"/>
      <c r="D30" s="11"/>
      <c r="E30" s="2"/>
    </row>
    <row r="31" spans="1:6" ht="19.5" customHeight="1" x14ac:dyDescent="0.35">
      <c r="A31" s="4" t="s">
        <v>97</v>
      </c>
      <c r="B31" s="16" t="s">
        <v>90</v>
      </c>
      <c r="C31" s="11"/>
      <c r="D31" s="11"/>
      <c r="E31" s="1"/>
    </row>
    <row r="32" spans="1:6" ht="19.5" customHeight="1" x14ac:dyDescent="0.35">
      <c r="A32" s="4" t="s">
        <v>97</v>
      </c>
      <c r="B32" s="15" t="s">
        <v>94</v>
      </c>
      <c r="C32" s="11"/>
      <c r="D32" s="11"/>
      <c r="E32" s="2"/>
    </row>
    <row r="33" spans="1:5" ht="19.5" customHeight="1" x14ac:dyDescent="0.35">
      <c r="A33" s="4" t="s">
        <v>97</v>
      </c>
      <c r="B33" s="16" t="s">
        <v>88</v>
      </c>
      <c r="C33" s="11"/>
      <c r="D33" s="11"/>
      <c r="E33" s="1"/>
    </row>
    <row r="34" spans="1:5" ht="19.5" customHeight="1" x14ac:dyDescent="0.35">
      <c r="A34" s="4" t="s">
        <v>97</v>
      </c>
      <c r="B34" s="15" t="s">
        <v>96</v>
      </c>
      <c r="C34" s="11"/>
      <c r="D34" s="11"/>
      <c r="E34" s="2"/>
    </row>
    <row r="35" spans="1:5" ht="19.5" customHeight="1" x14ac:dyDescent="0.35">
      <c r="A35" s="4" t="s">
        <v>98</v>
      </c>
      <c r="B35" s="16" t="s">
        <v>90</v>
      </c>
      <c r="C35" s="11"/>
      <c r="D35" s="11"/>
      <c r="E35" s="1"/>
    </row>
    <row r="36" spans="1:5" ht="19.5" customHeight="1" x14ac:dyDescent="0.35">
      <c r="A36" s="4" t="s">
        <v>98</v>
      </c>
      <c r="B36" s="15" t="s">
        <v>94</v>
      </c>
      <c r="C36" s="11"/>
      <c r="D36" s="11"/>
      <c r="E36" s="2"/>
    </row>
    <row r="37" spans="1:5" ht="19.5" customHeight="1" x14ac:dyDescent="0.35">
      <c r="A37" s="4" t="s">
        <v>98</v>
      </c>
      <c r="B37" s="16" t="s">
        <v>88</v>
      </c>
      <c r="C37" s="11"/>
      <c r="D37" s="11"/>
      <c r="E37" s="1"/>
    </row>
    <row r="38" spans="1:5" ht="19.5" customHeight="1" x14ac:dyDescent="0.35">
      <c r="A38" s="4" t="s">
        <v>98</v>
      </c>
      <c r="B38" s="15" t="s">
        <v>96</v>
      </c>
      <c r="C38" s="11"/>
      <c r="D38" s="11"/>
      <c r="E38" s="2"/>
    </row>
  </sheetData>
  <mergeCells count="4">
    <mergeCell ref="A1:F1"/>
    <mergeCell ref="A3:F3"/>
    <mergeCell ref="A16:F16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zoomScaleNormal="100" workbookViewId="0">
      <pane ySplit="3" topLeftCell="A35" activePane="bottomLeft" state="frozen"/>
      <selection pane="bottomLeft" sqref="A1:F1"/>
    </sheetView>
  </sheetViews>
  <sheetFormatPr baseColWidth="10" defaultColWidth="8.6328125" defaultRowHeight="14.5" x14ac:dyDescent="0.35"/>
  <cols>
    <col min="1" max="3" width="20" customWidth="1"/>
    <col min="4" max="4" width="18" customWidth="1"/>
    <col min="5" max="5" width="12" customWidth="1"/>
    <col min="6" max="6" width="16" customWidth="1"/>
  </cols>
  <sheetData>
    <row r="1" spans="1:6" ht="27.75" customHeight="1" x14ac:dyDescent="0.35">
      <c r="A1" s="37" t="s">
        <v>99</v>
      </c>
      <c r="B1" s="37"/>
      <c r="C1" s="37"/>
      <c r="D1" s="37"/>
      <c r="E1" s="37"/>
      <c r="F1" s="37"/>
    </row>
    <row r="2" spans="1:6" ht="24" customHeight="1" x14ac:dyDescent="0.35">
      <c r="A2" s="38" t="s">
        <v>100</v>
      </c>
      <c r="B2" s="38"/>
      <c r="C2" s="38"/>
      <c r="D2" s="38"/>
      <c r="E2" s="38"/>
      <c r="F2" s="38"/>
    </row>
    <row r="4" spans="1:6" ht="24" customHeight="1" x14ac:dyDescent="0.35">
      <c r="A4" s="29" t="s">
        <v>101</v>
      </c>
      <c r="B4" s="29"/>
      <c r="C4" s="29"/>
      <c r="D4" s="29"/>
      <c r="E4" s="29"/>
      <c r="F4" s="29"/>
    </row>
    <row r="5" spans="1:6" ht="27.75" customHeight="1" x14ac:dyDescent="0.35">
      <c r="A5" s="3" t="s">
        <v>102</v>
      </c>
      <c r="B5" s="3" t="s">
        <v>38</v>
      </c>
      <c r="C5" s="3" t="s">
        <v>61</v>
      </c>
      <c r="D5" s="3" t="s">
        <v>103</v>
      </c>
      <c r="E5" s="3" t="s">
        <v>104</v>
      </c>
      <c r="F5" s="3" t="s">
        <v>42</v>
      </c>
    </row>
    <row r="6" spans="1:6" ht="19.5" customHeight="1" x14ac:dyDescent="0.35">
      <c r="A6" s="8"/>
      <c r="B6" s="8"/>
      <c r="C6" s="8"/>
      <c r="D6" s="8"/>
      <c r="E6" s="2"/>
      <c r="F6" s="2"/>
    </row>
    <row r="7" spans="1:6" ht="19.5" customHeight="1" x14ac:dyDescent="0.35">
      <c r="A7" s="8"/>
      <c r="B7" s="8"/>
      <c r="C7" s="8"/>
      <c r="D7" s="8"/>
      <c r="E7" s="1"/>
      <c r="F7" s="1"/>
    </row>
    <row r="8" spans="1:6" ht="19.5" customHeight="1" x14ac:dyDescent="0.35">
      <c r="A8" s="8"/>
      <c r="B8" s="8"/>
      <c r="C8" s="8"/>
      <c r="D8" s="8"/>
      <c r="E8" s="2"/>
      <c r="F8" s="2"/>
    </row>
    <row r="9" spans="1:6" ht="19.5" customHeight="1" x14ac:dyDescent="0.35">
      <c r="A9" s="8"/>
      <c r="B9" s="8"/>
      <c r="C9" s="8"/>
      <c r="D9" s="8"/>
      <c r="E9" s="1"/>
      <c r="F9" s="1"/>
    </row>
    <row r="10" spans="1:6" ht="19.5" customHeight="1" x14ac:dyDescent="0.35">
      <c r="A10" s="8"/>
      <c r="B10" s="8"/>
      <c r="C10" s="8"/>
      <c r="D10" s="8"/>
      <c r="E10" s="2"/>
      <c r="F10" s="2"/>
    </row>
    <row r="11" spans="1:6" ht="19.5" customHeight="1" x14ac:dyDescent="0.35">
      <c r="A11" s="8"/>
      <c r="B11" s="8"/>
      <c r="C11" s="8"/>
      <c r="D11" s="8"/>
      <c r="E11" s="1"/>
      <c r="F11" s="1"/>
    </row>
    <row r="12" spans="1:6" ht="19.5" customHeight="1" x14ac:dyDescent="0.35">
      <c r="A12" s="8"/>
      <c r="B12" s="8"/>
      <c r="C12" s="8"/>
      <c r="D12" s="8"/>
      <c r="E12" s="2"/>
      <c r="F12" s="2"/>
    </row>
    <row r="13" spans="1:6" ht="19.5" customHeight="1" x14ac:dyDescent="0.35">
      <c r="A13" s="8"/>
      <c r="B13" s="8"/>
      <c r="C13" s="8"/>
      <c r="D13" s="8"/>
      <c r="E13" s="1"/>
      <c r="F13" s="1"/>
    </row>
    <row r="15" spans="1:6" ht="24" customHeight="1" x14ac:dyDescent="0.35">
      <c r="A15" s="29" t="s">
        <v>105</v>
      </c>
      <c r="B15" s="29"/>
      <c r="C15" s="29"/>
      <c r="D15" s="29"/>
      <c r="E15" s="29"/>
      <c r="F15" s="29"/>
    </row>
    <row r="16" spans="1:6" ht="27.75" customHeight="1" x14ac:dyDescent="0.35">
      <c r="A16" s="3" t="s">
        <v>102</v>
      </c>
      <c r="B16" s="3" t="s">
        <v>38</v>
      </c>
      <c r="C16" s="3" t="s">
        <v>61</v>
      </c>
      <c r="D16" s="3" t="s">
        <v>103</v>
      </c>
      <c r="E16" s="3" t="s">
        <v>104</v>
      </c>
      <c r="F16" s="3" t="s">
        <v>42</v>
      </c>
    </row>
    <row r="17" spans="1:6" ht="19.5" customHeight="1" x14ac:dyDescent="0.35">
      <c r="A17" s="8"/>
      <c r="B17" s="8"/>
      <c r="C17" s="8"/>
      <c r="D17" s="8"/>
      <c r="E17" s="2"/>
      <c r="F17" s="2"/>
    </row>
    <row r="18" spans="1:6" ht="19.5" customHeight="1" x14ac:dyDescent="0.35">
      <c r="A18" s="8"/>
      <c r="B18" s="8"/>
      <c r="C18" s="8"/>
      <c r="D18" s="8"/>
      <c r="E18" s="1"/>
      <c r="F18" s="1"/>
    </row>
    <row r="19" spans="1:6" ht="19.5" customHeight="1" x14ac:dyDescent="0.35">
      <c r="A19" s="8"/>
      <c r="B19" s="8"/>
      <c r="C19" s="8"/>
      <c r="D19" s="8"/>
      <c r="E19" s="2"/>
      <c r="F19" s="2"/>
    </row>
    <row r="20" spans="1:6" ht="19.5" customHeight="1" x14ac:dyDescent="0.35">
      <c r="A20" s="8"/>
      <c r="B20" s="8"/>
      <c r="C20" s="8"/>
      <c r="D20" s="8"/>
      <c r="E20" s="1"/>
      <c r="F20" s="1"/>
    </row>
    <row r="21" spans="1:6" ht="19.5" customHeight="1" x14ac:dyDescent="0.35">
      <c r="A21" s="8"/>
      <c r="B21" s="8"/>
      <c r="C21" s="8"/>
      <c r="D21" s="8"/>
      <c r="E21" s="2"/>
      <c r="F21" s="2"/>
    </row>
    <row r="22" spans="1:6" ht="19.5" customHeight="1" x14ac:dyDescent="0.35">
      <c r="A22" s="8"/>
      <c r="B22" s="8"/>
      <c r="C22" s="8"/>
      <c r="D22" s="8"/>
      <c r="E22" s="1"/>
      <c r="F22" s="1"/>
    </row>
    <row r="23" spans="1:6" ht="19.5" customHeight="1" x14ac:dyDescent="0.35">
      <c r="A23" s="8"/>
      <c r="B23" s="8"/>
      <c r="C23" s="8"/>
      <c r="D23" s="8"/>
      <c r="E23" s="2"/>
      <c r="F23" s="2"/>
    </row>
    <row r="24" spans="1:6" ht="19.5" customHeight="1" x14ac:dyDescent="0.35">
      <c r="A24" s="8"/>
      <c r="B24" s="8"/>
      <c r="C24" s="8"/>
      <c r="D24" s="8"/>
      <c r="E24" s="1"/>
      <c r="F24" s="1"/>
    </row>
    <row r="26" spans="1:6" ht="24" customHeight="1" x14ac:dyDescent="0.35">
      <c r="A26" s="29" t="s">
        <v>106</v>
      </c>
      <c r="B26" s="29"/>
      <c r="C26" s="29"/>
      <c r="D26" s="29"/>
      <c r="E26" s="29"/>
      <c r="F26" s="29"/>
    </row>
    <row r="27" spans="1:6" ht="27.75" customHeight="1" x14ac:dyDescent="0.35">
      <c r="A27" s="3" t="s">
        <v>102</v>
      </c>
      <c r="B27" s="3" t="s">
        <v>38</v>
      </c>
      <c r="C27" s="3" t="s">
        <v>61</v>
      </c>
      <c r="D27" s="3" t="s">
        <v>103</v>
      </c>
      <c r="E27" s="3" t="s">
        <v>104</v>
      </c>
      <c r="F27" s="3" t="s">
        <v>42</v>
      </c>
    </row>
    <row r="28" spans="1:6" ht="19.5" customHeight="1" x14ac:dyDescent="0.35">
      <c r="A28" s="8"/>
      <c r="B28" s="8"/>
      <c r="C28" s="8"/>
      <c r="D28" s="8"/>
      <c r="E28" s="2"/>
      <c r="F28" s="2"/>
    </row>
    <row r="29" spans="1:6" ht="19.5" customHeight="1" x14ac:dyDescent="0.35">
      <c r="A29" s="8"/>
      <c r="B29" s="8"/>
      <c r="C29" s="8"/>
      <c r="D29" s="8"/>
      <c r="E29" s="1"/>
      <c r="F29" s="1"/>
    </row>
    <row r="30" spans="1:6" ht="19.5" customHeight="1" x14ac:dyDescent="0.35">
      <c r="A30" s="8"/>
      <c r="B30" s="8"/>
      <c r="C30" s="8"/>
      <c r="D30" s="8"/>
      <c r="E30" s="2"/>
      <c r="F30" s="2"/>
    </row>
    <row r="31" spans="1:6" ht="19.5" customHeight="1" x14ac:dyDescent="0.35">
      <c r="A31" s="8"/>
      <c r="B31" s="8"/>
      <c r="C31" s="8"/>
      <c r="D31" s="8"/>
      <c r="E31" s="1"/>
      <c r="F31" s="1"/>
    </row>
    <row r="32" spans="1:6" ht="19.5" customHeight="1" x14ac:dyDescent="0.35">
      <c r="A32" s="8"/>
      <c r="B32" s="8"/>
      <c r="C32" s="8"/>
      <c r="D32" s="8"/>
      <c r="E32" s="2"/>
      <c r="F32" s="2"/>
    </row>
    <row r="33" spans="1:6" ht="19.5" customHeight="1" x14ac:dyDescent="0.35">
      <c r="A33" s="8"/>
      <c r="B33" s="8"/>
      <c r="C33" s="8"/>
      <c r="D33" s="8"/>
      <c r="E33" s="1"/>
      <c r="F33" s="1"/>
    </row>
    <row r="34" spans="1:6" ht="19.5" customHeight="1" x14ac:dyDescent="0.35">
      <c r="A34" s="8"/>
      <c r="B34" s="8"/>
      <c r="C34" s="8"/>
      <c r="D34" s="8"/>
      <c r="E34" s="2"/>
      <c r="F34" s="2"/>
    </row>
    <row r="35" spans="1:6" ht="19.5" customHeight="1" x14ac:dyDescent="0.35">
      <c r="A35" s="8"/>
      <c r="B35" s="8"/>
      <c r="C35" s="8"/>
      <c r="D35" s="8"/>
      <c r="E35" s="1"/>
      <c r="F35" s="1"/>
    </row>
  </sheetData>
  <mergeCells count="5">
    <mergeCell ref="A1:F1"/>
    <mergeCell ref="A2:F2"/>
    <mergeCell ref="A4:F4"/>
    <mergeCell ref="A15:F15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selection sqref="A1:D1"/>
    </sheetView>
  </sheetViews>
  <sheetFormatPr baseColWidth="10" defaultColWidth="8.6328125" defaultRowHeight="14.5" x14ac:dyDescent="0.35"/>
  <cols>
    <col min="1" max="1" width="14" customWidth="1"/>
    <col min="2" max="2" width="50" customWidth="1"/>
  </cols>
  <sheetData>
    <row r="1" spans="1:4" ht="27.75" customHeight="1" x14ac:dyDescent="0.35">
      <c r="A1" s="39" t="s">
        <v>107</v>
      </c>
      <c r="B1" s="39"/>
      <c r="C1" s="39"/>
      <c r="D1" s="39"/>
    </row>
    <row r="3" spans="1:4" ht="24" customHeight="1" x14ac:dyDescent="0.35">
      <c r="A3" s="10" t="s">
        <v>108</v>
      </c>
      <c r="B3" s="17" t="s">
        <v>109</v>
      </c>
    </row>
    <row r="4" spans="1:4" ht="24" customHeight="1" x14ac:dyDescent="0.35">
      <c r="A4" s="8" t="s">
        <v>108</v>
      </c>
      <c r="B4" s="17" t="s">
        <v>110</v>
      </c>
    </row>
    <row r="5" spans="1:4" ht="24" customHeight="1" x14ac:dyDescent="0.35">
      <c r="A5" s="7" t="s">
        <v>108</v>
      </c>
      <c r="B5" s="17" t="s">
        <v>111</v>
      </c>
    </row>
    <row r="6" spans="1:4" ht="24" customHeight="1" x14ac:dyDescent="0.35">
      <c r="A6" s="18" t="s">
        <v>108</v>
      </c>
      <c r="B6" s="17" t="s">
        <v>112</v>
      </c>
    </row>
    <row r="7" spans="1:4" ht="24" customHeight="1" x14ac:dyDescent="0.35">
      <c r="A7" s="19" t="s">
        <v>108</v>
      </c>
      <c r="B7" s="17" t="s">
        <v>113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 y Cálculos</vt:lpstr>
      <vt:lpstr>2. Redes</vt:lpstr>
      <vt:lpstr>3. Equipos</vt:lpstr>
      <vt:lpstr>4. Rutas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ANTONIO BARBERO ALVAREZ</cp:lastModifiedBy>
  <cp:revision>0</cp:revision>
  <dcterms:created xsi:type="dcterms:W3CDTF">2026-03-16T11:50:53Z</dcterms:created>
  <dcterms:modified xsi:type="dcterms:W3CDTF">2026-03-16T12:59:51Z</dcterms:modified>
  <dc:language>en-US</dc:language>
</cp:coreProperties>
</file>