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upm365-my.sharepoint.com/personal/juan_martin_miguel_alumnos_upm_es/Documents/"/>
    </mc:Choice>
  </mc:AlternateContent>
  <xr:revisionPtr revIDLastSave="0" documentId="8_{EFAADF25-3735-4595-AB63-617C9CB63881}" xr6:coauthVersionLast="47" xr6:coauthVersionMax="47" xr10:uidLastSave="{00000000-0000-0000-0000-000000000000}"/>
  <bookViews>
    <workbookView xWindow="-108" yWindow="-108" windowWidth="23256" windowHeight="12456" tabRatio="500" firstSheet="3" activeTab="3" xr2:uid="{00000000-000D-0000-FFFF-FFFF00000000}"/>
  </bookViews>
  <sheets>
    <sheet name="1. Datos y Cálculos" sheetId="1" r:id="rId1"/>
    <sheet name="2. Redes" sheetId="2" r:id="rId2"/>
    <sheet name="3. Equipos" sheetId="3" r:id="rId3"/>
    <sheet name="4. Rutas" sheetId="4" r:id="rId4"/>
    <sheet name="Leyenda" sheetId="5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4" i="1" l="1"/>
  <c r="F24" i="1" s="1"/>
  <c r="F15" i="1"/>
  <c r="F16" i="1" s="1"/>
  <c r="E42" i="1" s="1"/>
  <c r="B6" i="2" s="1"/>
  <c r="C42" i="1" l="1"/>
  <c r="B5" i="2" s="1"/>
  <c r="G42" i="1"/>
  <c r="B7" i="2" s="1"/>
</calcChain>
</file>

<file path=xl/sharedStrings.xml><?xml version="1.0" encoding="utf-8"?>
<sst xmlns="http://schemas.openxmlformats.org/spreadsheetml/2006/main" count="395" uniqueCount="194">
  <si>
    <t>TAREA 0 – FORMULARIO INICIAL</t>
  </si>
  <si>
    <t>Rellena las celdas en AMARILLO · Las celdas en VERDE se calculan automáticamente</t>
  </si>
  <si>
    <t>👥  DATOS DEL GRUPO</t>
  </si>
  <si>
    <t>Nombre del estudiante</t>
  </si>
  <si>
    <t>Nº de matrícula</t>
  </si>
  <si>
    <t>Estudiante 1</t>
  </si>
  <si>
    <t>Juan Martín Miguel(Gay)</t>
  </si>
  <si>
    <t>Estudiante 2</t>
  </si>
  <si>
    <t>Paula Casas Fernandez</t>
  </si>
  <si>
    <t>Estudiante 3</t>
  </si>
  <si>
    <t>Gustavo Vasquez Gómez</t>
  </si>
  <si>
    <t>Estuduante 4</t>
  </si>
  <si>
    <t>Tirso Vaquero Serantes</t>
  </si>
  <si>
    <t>⚠️  Matrícula más baja (sin letras):</t>
  </si>
  <si>
    <t>Nota: si alguna matrícula contiene letras, elimínalas antes de introducirla (ej. 16I0123 → 160123)</t>
  </si>
  <si>
    <t>🔢  CÁLCULOS AUTOMÁTICOS  (basados en la matrícula más baja)</t>
  </si>
  <si>
    <t>Resultado 1 = matrícula más baja MOD 4  (resto de dividir entre 4)</t>
  </si>
  <si>
    <t>Resultado 2 = DIVISIÓN ENTERA de la matrícula más baja entre 4</t>
  </si>
  <si>
    <t>Resultado 3 = Resultado 2 MOD 12  (resto de dividir Resultado 2 entre 12)</t>
  </si>
  <si>
    <t>🔗  TABLA: ENLACES A ELIMINAR  (según Resultado 1)</t>
  </si>
  <si>
    <t>Resultado 1</t>
  </si>
  <si>
    <t>Eliminar 1</t>
  </si>
  <si>
    <t>Eliminar 2</t>
  </si>
  <si>
    <t>Router 2 a Switch2</t>
  </si>
  <si>
    <t>Router 1 a Router 3</t>
  </si>
  <si>
    <t>Router 1 a Router 2</t>
  </si>
  <si>
    <t>Router 1 a Switch2</t>
  </si>
  <si>
    <t>▶  Según tu Resultado 1, debes eliminar:</t>
  </si>
  <si>
    <t>🌐  TABLA: TAMAÑO DE REDES  (según Resultado 3)</t>
  </si>
  <si>
    <t>Res. 3</t>
  </si>
  <si>
    <t>Red 1</t>
  </si>
  <si>
    <t>Red 2</t>
  </si>
  <si>
    <t>Red 3</t>
  </si>
  <si>
    <t>▶  Tus redes (hosts):</t>
  </si>
  <si>
    <t>Red 1 hosts</t>
  </si>
  <si>
    <t>Red 2 hosts</t>
  </si>
  <si>
    <t>Red 3 hosts</t>
  </si>
  <si>
    <t>TABLA DE DIRECCIONAMIENTO DE REDES</t>
  </si>
  <si>
    <t>El rango comienza en 172.16.0.0 asignando según el orden indicado en el enunciado. RED 4 = 800 hosts fijos | RED 5 = 1500 hosts fijos. Redes internas: empiezan en 192.168.1.0</t>
  </si>
  <si>
    <t>Red</t>
  </si>
  <si>
    <t>Nº de hosts</t>
  </si>
  <si>
    <t>Dirección de Subred</t>
  </si>
  <si>
    <t>Máscara</t>
  </si>
  <si>
    <t>Broadcast</t>
  </si>
  <si>
    <t>1ª Dir. de Host</t>
  </si>
  <si>
    <t>Última Dir. de Host Asignable</t>
  </si>
  <si>
    <t>Notas</t>
  </si>
  <si>
    <t>RED 1</t>
  </si>
  <si>
    <t>172.16.1.0</t>
  </si>
  <si>
    <t>/26</t>
  </si>
  <si>
    <t>172.16.13.191</t>
  </si>
  <si>
    <t>172.16.13.129/26</t>
  </si>
  <si>
    <t>172.16.13.190</t>
  </si>
  <si>
    <t>RED 2</t>
  </si>
  <si>
    <t>172.16.2.0</t>
  </si>
  <si>
    <t>/25</t>
  </si>
  <si>
    <t>172.16.13.128</t>
  </si>
  <si>
    <t>172.16.13.1/25</t>
  </si>
  <si>
    <t>172.16.13.126</t>
  </si>
  <si>
    <t>RED 3</t>
  </si>
  <si>
    <t>172.16.3.0</t>
  </si>
  <si>
    <t>/24</t>
  </si>
  <si>
    <t>172.16.13.0</t>
  </si>
  <si>
    <t>172.16.12.1/24</t>
  </si>
  <si>
    <t>172.16.12.254</t>
  </si>
  <si>
    <t>RED 4</t>
  </si>
  <si>
    <t>800</t>
  </si>
  <si>
    <t>172.16.4.0</t>
  </si>
  <si>
    <t>/22</t>
  </si>
  <si>
    <t>172.16.11.255</t>
  </si>
  <si>
    <t>172.16.8.1/22</t>
  </si>
  <si>
    <t>172.16.11.254</t>
  </si>
  <si>
    <t>Tamaño fijo</t>
  </si>
  <si>
    <t>RED 5</t>
  </si>
  <si>
    <t>1500</t>
  </si>
  <si>
    <t>172.16.5.0</t>
  </si>
  <si>
    <t>/21</t>
  </si>
  <si>
    <t>172.16.7.255</t>
  </si>
  <si>
    <t>172.16.0.1/21</t>
  </si>
  <si>
    <t>172.16.7.254</t>
  </si>
  <si>
    <t>Enlace Público</t>
  </si>
  <si>
    <t>138.10.0.0</t>
  </si>
  <si>
    <t>/30</t>
  </si>
  <si>
    <t>138.10.0.3</t>
  </si>
  <si>
    <t>138.10.0.1</t>
  </si>
  <si>
    <t>138.10.0.2</t>
  </si>
  <si>
    <t>Red interna 1</t>
  </si>
  <si>
    <t>192.168.1.0</t>
  </si>
  <si>
    <t>192.168.1.3</t>
  </si>
  <si>
    <t>192.168.1.1</t>
  </si>
  <si>
    <t>192.168.1.2</t>
  </si>
  <si>
    <t>192.168.x.x</t>
  </si>
  <si>
    <t>Red interna 2</t>
  </si>
  <si>
    <t>192.168.1.4</t>
  </si>
  <si>
    <t>192.168.1.7</t>
  </si>
  <si>
    <t>192.168.1.5</t>
  </si>
  <si>
    <t>192.168.1.6</t>
  </si>
  <si>
    <t>Red interna 3</t>
  </si>
  <si>
    <t>192.168.1.8</t>
  </si>
  <si>
    <t>192.168.1.11</t>
  </si>
  <si>
    <t>192.168.1.9</t>
  </si>
  <si>
    <t>192.168.1.10</t>
  </si>
  <si>
    <t>Red interna 4</t>
  </si>
  <si>
    <t>192.168.1.12</t>
  </si>
  <si>
    <t>192.168.1.15</t>
  </si>
  <si>
    <t>192.168.1.13</t>
  </si>
  <si>
    <t>192.168.1.14</t>
  </si>
  <si>
    <t>Red interna 5</t>
  </si>
  <si>
    <t>192.168.1.16</t>
  </si>
  <si>
    <t>192.168.1.19</t>
  </si>
  <si>
    <t>192.168.1.17</t>
  </si>
  <si>
    <t>192.168.1.18</t>
  </si>
  <si>
    <t>CONFIGURACIÓN DE EQUIPOS FINALES Y ROUTERS</t>
  </si>
  <si>
    <t>💻  EQUIPOS FINALES (PCs)</t>
  </si>
  <si>
    <t>Dispositivo</t>
  </si>
  <si>
    <t>Interfaz</t>
  </si>
  <si>
    <t>Dirección IP</t>
  </si>
  <si>
    <t>Gateway</t>
  </si>
  <si>
    <t>Servidor DNS</t>
  </si>
  <si>
    <t>PC1-1</t>
  </si>
  <si>
    <t>Fa 0</t>
  </si>
  <si>
    <t>172.16.1.1</t>
  </si>
  <si>
    <t>172.16.1.254</t>
  </si>
  <si>
    <t>20.20.20.20</t>
  </si>
  <si>
    <t>PC1-2</t>
  </si>
  <si>
    <t>172.16.1.2</t>
  </si>
  <si>
    <t>PC2-1</t>
  </si>
  <si>
    <t>172.16.2.1</t>
  </si>
  <si>
    <t>172.16.3.254</t>
  </si>
  <si>
    <t>PC2-2</t>
  </si>
  <si>
    <t>172.16.2.2</t>
  </si>
  <si>
    <t>PC3-1</t>
  </si>
  <si>
    <t>172.16.3.1</t>
  </si>
  <si>
    <t>172.16.4.254</t>
  </si>
  <si>
    <t>PC3-2</t>
  </si>
  <si>
    <t>172.16.3.2</t>
  </si>
  <si>
    <t>PC4-1</t>
  </si>
  <si>
    <t>172.16.4.1</t>
  </si>
  <si>
    <t>PC4-2</t>
  </si>
  <si>
    <t>172.16.4.2</t>
  </si>
  <si>
    <t>PC5-1</t>
  </si>
  <si>
    <t>172.16.5.1</t>
  </si>
  <si>
    <t>172.16.23.254</t>
  </si>
  <si>
    <t>PC5-2</t>
  </si>
  <si>
    <t>172.16.5.2</t>
  </si>
  <si>
    <t>⚙️  DISPOSITIVOS PRE-CONFIGURADOS (solo lectura)</t>
  </si>
  <si>
    <t>S. DNS</t>
  </si>
  <si>
    <t>128.0.0.0</t>
  </si>
  <si>
    <t>50.50.50.1</t>
  </si>
  <si>
    <t>-</t>
  </si>
  <si>
    <t>www.marca.es</t>
  </si>
  <si>
    <t>100.100.100.100</t>
  </si>
  <si>
    <t>PC-Casa</t>
  </si>
  <si>
    <t>14.14.14.14</t>
  </si>
  <si>
    <t>🔀  ROUTERS</t>
  </si>
  <si>
    <t>ISP</t>
  </si>
  <si>
    <t>GigabitEthernet 0/0</t>
  </si>
  <si>
    <t>pre-config.</t>
  </si>
  <si>
    <t>Serial 0/0/0</t>
  </si>
  <si>
    <t>255.255.255.252</t>
  </si>
  <si>
    <t>R1</t>
  </si>
  <si>
    <t>Serial 0/0/1</t>
  </si>
  <si>
    <t>Serial 0/1/0</t>
  </si>
  <si>
    <t>Eliminado</t>
  </si>
  <si>
    <t>172.16.0.30</t>
  </si>
  <si>
    <t>GigabitEthernet 0/1</t>
  </si>
  <si>
    <t>172.16.8.254</t>
  </si>
  <si>
    <t>255.255.255.0</t>
  </si>
  <si>
    <t>R2</t>
  </si>
  <si>
    <t>R3</t>
  </si>
  <si>
    <t>255.255.252.0</t>
  </si>
  <si>
    <t>172.16.15.254</t>
  </si>
  <si>
    <t>255.255.248.0</t>
  </si>
  <si>
    <t>TABLAS DE RUTAS  (R1, R2, R3)</t>
  </si>
  <si>
    <t>Indica la tabla de rutas de cada router para tener conectividad completa (todas las subredes + Internet)</t>
  </si>
  <si>
    <t>🔀  Tabla de rutas: R1</t>
  </si>
  <si>
    <t>Dirección destino</t>
  </si>
  <si>
    <t>Siguiente salto</t>
  </si>
  <si>
    <t>Tipo</t>
  </si>
  <si>
    <t>Gi0/0</t>
  </si>
  <si>
    <t>Gi0/1</t>
  </si>
  <si>
    <t>Se0/0/1</t>
  </si>
  <si>
    <t>172.16.8.0</t>
  </si>
  <si>
    <t>0.0.0.0</t>
  </si>
  <si>
    <t>Se0/0/0</t>
  </si>
  <si>
    <t>🔀  Tabla de rutas: R2</t>
  </si>
  <si>
    <t>🔀  Tabla de rutas: R3</t>
  </si>
  <si>
    <t>LEYENDA DE COLORES</t>
  </si>
  <si>
    <t>Ejemplo</t>
  </si>
  <si>
    <t>Celda de enunciado / instrucción (NO modificar)</t>
  </si>
  <si>
    <t>✏️  Celda a RELLENAR por el alumno</t>
  </si>
  <si>
    <t>🔢  Celda calculada AUTOMÁTICAMENTE (no modificar)</t>
  </si>
  <si>
    <t>Encabezado de tabla</t>
  </si>
  <si>
    <t>Encabezado de sección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</si>
</sst>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A1A2E"/>
      <name val="Arial"/>
      <charset val="1"/>
    </font>
    <font>
      <sz val="10"/>
      <color rgb="FF000000"/>
      <name val="Arial"/>
      <charset val="1"/>
    </font>
    <font>
      <b/>
      <sz val="10"/>
      <color rgb="FF856404"/>
      <name val="Arial"/>
      <charset val="1"/>
    </font>
    <font>
      <i/>
      <sz val="10"/>
      <color rgb="FF795548"/>
      <name val="Arial"/>
      <charset val="1"/>
    </font>
    <font>
      <sz val="10"/>
      <color rgb="FF1A1A2E"/>
      <name val="Arial"/>
      <charset val="1"/>
    </font>
    <font>
      <b/>
      <sz val="10"/>
      <color rgb="FF1B5E20"/>
      <name val="Arial"/>
      <charset val="1"/>
    </font>
    <font>
      <b/>
      <sz val="10"/>
      <color rgb="FF1F4E79"/>
      <name val="Arial"/>
      <charset val="1"/>
    </font>
    <font>
      <b/>
      <sz val="10"/>
      <color rgb="FF000000"/>
      <name val="Arial"/>
      <charset val="1"/>
    </font>
    <font>
      <b/>
      <sz val="12"/>
      <color rgb="FFFFFFFF"/>
      <name val="Arial"/>
      <charset val="1"/>
    </font>
    <font>
      <i/>
      <sz val="10"/>
      <color rgb="FF856404"/>
      <name val="Arial"/>
      <charset val="1"/>
    </font>
    <font>
      <i/>
      <sz val="10"/>
      <color rgb="FF888888"/>
      <name val="Arial"/>
      <charset val="1"/>
    </font>
    <font>
      <b/>
      <i/>
      <sz val="10"/>
      <color rgb="FF555555"/>
      <name val="Arial"/>
      <charset val="1"/>
    </font>
    <font>
      <b/>
      <sz val="13"/>
      <color rgb="FFFFFFFF"/>
      <name val="Arial"/>
      <charset val="1"/>
    </font>
    <font>
      <sz val="10"/>
      <color rgb="FF0000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0F4F8"/>
        <bgColor rgb="FFEBF3FB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3F2FD"/>
      </patternFill>
    </fill>
    <fill>
      <patternFill patternType="solid">
        <fgColor rgb="FFFFFDE7"/>
        <bgColor rgb="FFFFF8E1"/>
      </patternFill>
    </fill>
    <fill>
      <patternFill patternType="solid">
        <fgColor rgb="FFFFF3CD"/>
        <bgColor rgb="FFFFF8E1"/>
      </patternFill>
    </fill>
    <fill>
      <patternFill patternType="solid">
        <fgColor rgb="FFFFF8E1"/>
        <bgColor rgb="FFFFFDE7"/>
      </patternFill>
    </fill>
    <fill>
      <patternFill patternType="solid">
        <fgColor rgb="FFE8F5E9"/>
        <bgColor rgb="FFEBF3FB"/>
      </patternFill>
    </fill>
    <fill>
      <patternFill patternType="solid">
        <fgColor rgb="FFEBF3FB"/>
        <bgColor rgb="FFF0F4F8"/>
      </patternFill>
    </fill>
    <fill>
      <patternFill patternType="solid">
        <fgColor rgb="FFFFFFFF"/>
        <bgColor rgb="FFFFFDE7"/>
      </patternFill>
    </fill>
    <fill>
      <patternFill patternType="solid">
        <fgColor rgb="FFE3F2FD"/>
        <bgColor rgb="FFEBF3FB"/>
      </patternFill>
    </fill>
    <fill>
      <patternFill patternType="solid">
        <fgColor rgb="FFF5F5F5"/>
        <bgColor rgb="FFF0F4F8"/>
      </patternFill>
    </fill>
    <fill>
      <patternFill patternType="solid">
        <fgColor rgb="FFEEEEEE"/>
        <bgColor rgb="FFF0F4F8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B0C4DE"/>
      </left>
      <right/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/>
      <right/>
      <top style="thin">
        <color rgb="FFB0C4DE"/>
      </top>
      <bottom style="thin">
        <color rgb="FFB0C4DE"/>
      </bottom>
      <diagonal/>
    </border>
    <border>
      <left/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B0C4DE"/>
      </left>
      <right style="thin">
        <color rgb="FFB0C4DE"/>
      </right>
      <top/>
      <bottom style="thin">
        <color rgb="FFB0C4DE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6" fillId="11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0" fontId="2" fillId="14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15" borderId="0" xfId="0" applyFill="1"/>
    <xf numFmtId="0" fontId="5" fillId="15" borderId="0" xfId="0" applyFont="1" applyFill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3" fontId="6" fillId="6" borderId="2" xfId="0" applyNumberFormat="1" applyFont="1" applyFill="1" applyBorder="1" applyAlignment="1">
      <alignment horizontal="center" vertical="center"/>
    </xf>
    <xf numFmtId="3" fontId="6" fillId="6" borderId="2" xfId="0" applyNumberFormat="1" applyFont="1" applyFill="1" applyBorder="1" applyAlignment="1">
      <alignment horizontal="left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 wrapText="1"/>
    </xf>
    <xf numFmtId="0" fontId="8" fillId="8" borderId="0" xfId="0" applyFont="1" applyFill="1" applyAlignment="1">
      <alignment horizontal="left" vertical="center" wrapText="1"/>
    </xf>
    <xf numFmtId="0" fontId="6" fillId="6" borderId="3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4" fillId="15" borderId="0" xfId="0" applyFont="1" applyFill="1" applyAlignment="1">
      <alignment horizontal="center" vertical="center" wrapText="1"/>
    </xf>
    <xf numFmtId="0" fontId="6" fillId="15" borderId="0" xfId="0" applyFont="1" applyFill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/>
    </xf>
    <xf numFmtId="3" fontId="18" fillId="6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0D0D4A1-0B09-4F03-AC59-1FE4C7E64470}"/>
  </tableStyles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0FFFF"/>
      <rgbColor rgb="FF800000"/>
      <rgbColor rgb="FF1B5E20"/>
      <rgbColor rgb="FF000080"/>
      <rgbColor rgb="FF856404"/>
      <rgbColor rgb="FF800080"/>
      <rgbColor rgb="FF008080"/>
      <rgbColor rgb="FFB0C4DE"/>
      <rgbColor rgb="FF888888"/>
      <rgbColor rgb="FF9999FF"/>
      <rgbColor rgb="FF795548"/>
      <rgbColor rgb="FFFFF8E1"/>
      <rgbColor rgb="FFE3F2FD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BF3FB"/>
      <rgbColor rgb="FFFFF3CD"/>
      <rgbColor rgb="FFF0F4F8"/>
      <rgbColor rgb="FFF5F5F5"/>
      <rgbColor rgb="FFCC99FF"/>
      <rgbColor rgb="FFEEEEEE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D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showGridLines="0" zoomScaleNormal="100" workbookViewId="0">
      <pane ySplit="2" topLeftCell="A24" activePane="bottomLeft" state="frozen"/>
      <selection pane="bottomLeft" activeCell="F10" sqref="F10:H10"/>
    </sheetView>
  </sheetViews>
  <sheetFormatPr defaultColWidth="8.7109375" defaultRowHeight="14.45"/>
  <cols>
    <col min="1" max="1" width="14" customWidth="1"/>
    <col min="2" max="2" width="18" customWidth="1"/>
    <col min="3" max="4" width="10" customWidth="1"/>
    <col min="5" max="5" width="18" customWidth="1"/>
    <col min="6" max="7" width="12" customWidth="1"/>
    <col min="8" max="8" width="10" customWidth="1"/>
    <col min="9" max="9" width="21.7109375" customWidth="1"/>
  </cols>
  <sheetData>
    <row r="1" spans="1:16" ht="30" customHeight="1">
      <c r="A1" s="32" t="s">
        <v>0</v>
      </c>
      <c r="B1" s="32"/>
      <c r="C1" s="32"/>
      <c r="D1" s="32"/>
      <c r="E1" s="32"/>
      <c r="F1" s="32"/>
      <c r="G1" s="32"/>
      <c r="H1" s="32"/>
    </row>
    <row r="2" spans="1:16" ht="15.75" customHeight="1">
      <c r="A2" s="33" t="s">
        <v>1</v>
      </c>
      <c r="B2" s="33"/>
      <c r="C2" s="33"/>
      <c r="D2" s="33"/>
      <c r="E2" s="33"/>
      <c r="F2" s="33"/>
      <c r="G2" s="33"/>
      <c r="H2" s="33"/>
    </row>
    <row r="4" spans="1:16">
      <c r="A4" s="34" t="s">
        <v>2</v>
      </c>
      <c r="B4" s="34"/>
      <c r="C4" s="34"/>
      <c r="D4" s="34"/>
      <c r="E4" s="34"/>
      <c r="F4" s="34"/>
      <c r="G4" s="34"/>
      <c r="H4" s="34"/>
    </row>
    <row r="5" spans="1:16" ht="15" customHeight="1">
      <c r="A5" s="3"/>
      <c r="B5" s="35" t="s">
        <v>3</v>
      </c>
      <c r="C5" s="35"/>
      <c r="D5" s="35"/>
      <c r="E5" s="35"/>
      <c r="F5" s="35" t="s">
        <v>4</v>
      </c>
      <c r="G5" s="35"/>
      <c r="H5" s="35"/>
      <c r="I5" s="21"/>
      <c r="J5" s="50"/>
      <c r="K5" s="50"/>
      <c r="L5" s="50"/>
      <c r="M5" s="50"/>
      <c r="N5" s="50"/>
      <c r="O5" s="50"/>
      <c r="P5" s="50"/>
    </row>
    <row r="6" spans="1:16" ht="19.5" customHeight="1">
      <c r="A6" s="4" t="s">
        <v>5</v>
      </c>
      <c r="B6" s="36" t="s">
        <v>6</v>
      </c>
      <c r="C6" s="36"/>
      <c r="D6" s="36"/>
      <c r="E6" s="36"/>
      <c r="F6" s="36">
        <v>240299</v>
      </c>
      <c r="G6" s="36"/>
      <c r="H6" s="36"/>
      <c r="I6" s="22"/>
      <c r="J6" s="51"/>
      <c r="K6" s="51"/>
      <c r="L6" s="51"/>
      <c r="M6" s="51"/>
      <c r="N6" s="51"/>
      <c r="O6" s="51"/>
      <c r="P6" s="51"/>
    </row>
    <row r="7" spans="1:16" ht="19.5" customHeight="1">
      <c r="A7" s="4" t="s">
        <v>7</v>
      </c>
      <c r="B7" s="36" t="s">
        <v>8</v>
      </c>
      <c r="C7" s="36"/>
      <c r="D7" s="36"/>
      <c r="E7" s="36"/>
      <c r="F7" s="36">
        <v>240354</v>
      </c>
      <c r="G7" s="36"/>
      <c r="H7" s="36"/>
    </row>
    <row r="8" spans="1:16" ht="19.5" customHeight="1">
      <c r="A8" s="4" t="s">
        <v>9</v>
      </c>
      <c r="B8" s="36" t="s">
        <v>10</v>
      </c>
      <c r="C8" s="36"/>
      <c r="D8" s="36"/>
      <c r="E8" s="36"/>
      <c r="F8" s="36">
        <v>240060</v>
      </c>
      <c r="G8" s="36"/>
      <c r="H8" s="36"/>
    </row>
    <row r="9" spans="1:16" ht="19.5" customHeight="1">
      <c r="A9" s="20" t="s">
        <v>11</v>
      </c>
      <c r="B9" s="36" t="s">
        <v>12</v>
      </c>
      <c r="C9" s="39"/>
      <c r="D9" s="39"/>
      <c r="E9" s="40"/>
      <c r="F9" s="36">
        <v>240295</v>
      </c>
      <c r="G9" s="39"/>
      <c r="H9" s="39"/>
    </row>
    <row r="10" spans="1:16" ht="21.75" customHeight="1">
      <c r="A10" s="37" t="s">
        <v>13</v>
      </c>
      <c r="B10" s="37"/>
      <c r="C10" s="37"/>
      <c r="D10" s="37"/>
      <c r="E10" s="37"/>
      <c r="F10" s="36">
        <v>240060</v>
      </c>
      <c r="G10" s="36"/>
      <c r="H10" s="36"/>
    </row>
    <row r="11" spans="1:16" ht="24" customHeight="1">
      <c r="A11" s="38" t="s">
        <v>14</v>
      </c>
      <c r="B11" s="38"/>
      <c r="C11" s="38"/>
      <c r="D11" s="38"/>
      <c r="E11" s="38"/>
      <c r="F11" s="38"/>
      <c r="G11" s="38"/>
      <c r="H11" s="38"/>
    </row>
    <row r="13" spans="1:16">
      <c r="A13" s="34" t="s">
        <v>15</v>
      </c>
      <c r="B13" s="34"/>
      <c r="C13" s="34"/>
      <c r="D13" s="34"/>
      <c r="E13" s="34"/>
      <c r="F13" s="34"/>
      <c r="G13" s="34"/>
      <c r="H13" s="34"/>
    </row>
    <row r="14" spans="1:16" ht="19.5" customHeight="1">
      <c r="A14" s="41" t="s">
        <v>16</v>
      </c>
      <c r="B14" s="41"/>
      <c r="C14" s="41"/>
      <c r="D14" s="41"/>
      <c r="E14" s="41"/>
      <c r="F14" s="42">
        <f>IF(F10="","",MOD(F10,4))</f>
        <v>0</v>
      </c>
      <c r="G14" s="42"/>
      <c r="H14" s="42"/>
    </row>
    <row r="15" spans="1:16" ht="19.5" customHeight="1">
      <c r="A15" s="43" t="s">
        <v>17</v>
      </c>
      <c r="B15" s="43"/>
      <c r="C15" s="43"/>
      <c r="D15" s="43"/>
      <c r="E15" s="43"/>
      <c r="F15" s="42">
        <f>IF(F10="","",INT(F10/4))</f>
        <v>60015</v>
      </c>
      <c r="G15" s="42"/>
      <c r="H15" s="42"/>
    </row>
    <row r="16" spans="1:16" ht="19.5" customHeight="1">
      <c r="A16" s="43" t="s">
        <v>18</v>
      </c>
      <c r="B16" s="43"/>
      <c r="C16" s="43"/>
      <c r="D16" s="43"/>
      <c r="E16" s="43"/>
      <c r="F16" s="42">
        <f>IF(F15="","",MOD(F15,12))</f>
        <v>3</v>
      </c>
      <c r="G16" s="42"/>
      <c r="H16" s="42"/>
    </row>
    <row r="18" spans="1:8">
      <c r="A18" s="34" t="s">
        <v>19</v>
      </c>
      <c r="B18" s="34"/>
      <c r="C18" s="34"/>
      <c r="D18" s="34"/>
      <c r="E18" s="34"/>
      <c r="F18" s="34"/>
      <c r="G18" s="34"/>
      <c r="H18" s="34"/>
    </row>
    <row r="19" spans="1:8" ht="15" customHeight="1">
      <c r="A19" s="3" t="s">
        <v>20</v>
      </c>
      <c r="B19" s="35" t="s">
        <v>21</v>
      </c>
      <c r="C19" s="35"/>
      <c r="E19" s="35" t="s">
        <v>22</v>
      </c>
      <c r="F19" s="35"/>
      <c r="G19" s="35"/>
    </row>
    <row r="20" spans="1:8" ht="18" customHeight="1">
      <c r="A20" s="2">
        <v>0</v>
      </c>
      <c r="B20" s="44" t="s">
        <v>23</v>
      </c>
      <c r="C20" s="44"/>
      <c r="D20" s="44"/>
      <c r="E20" s="44" t="s">
        <v>24</v>
      </c>
      <c r="F20" s="44"/>
      <c r="G20" s="44"/>
      <c r="H20" s="44"/>
    </row>
    <row r="21" spans="1:8" ht="18" customHeight="1">
      <c r="A21" s="1">
        <v>1</v>
      </c>
      <c r="B21" s="45" t="s">
        <v>23</v>
      </c>
      <c r="C21" s="45"/>
      <c r="D21" s="45"/>
      <c r="E21" s="46" t="s">
        <v>25</v>
      </c>
      <c r="F21" s="46"/>
      <c r="G21" s="46"/>
      <c r="H21" s="46"/>
    </row>
    <row r="22" spans="1:8" ht="18" customHeight="1">
      <c r="A22" s="2">
        <v>2</v>
      </c>
      <c r="B22" s="44" t="s">
        <v>26</v>
      </c>
      <c r="C22" s="44"/>
      <c r="D22" s="44"/>
      <c r="E22" s="44" t="s">
        <v>24</v>
      </c>
      <c r="F22" s="44"/>
      <c r="G22" s="44"/>
      <c r="H22" s="44"/>
    </row>
    <row r="23" spans="1:8" ht="18" customHeight="1">
      <c r="A23" s="1">
        <v>3</v>
      </c>
      <c r="B23" s="46" t="s">
        <v>26</v>
      </c>
      <c r="C23" s="46"/>
      <c r="D23" s="46"/>
      <c r="E23" s="46" t="s">
        <v>25</v>
      </c>
      <c r="F23" s="46"/>
      <c r="G23" s="46"/>
      <c r="H23" s="46"/>
    </row>
    <row r="24" spans="1:8" ht="21.75" customHeight="1">
      <c r="A24" s="47" t="s">
        <v>27</v>
      </c>
      <c r="B24" s="47"/>
      <c r="C24" s="47"/>
      <c r="D24" s="47"/>
      <c r="E24" s="47"/>
      <c r="F24" s="42" t="str">
        <f>IF(F14="","",CHOOSE(F14+1,"Router 2 a Switch2 | Router 1 a Router 3","Router 2 a Switch2 | Router 1 a Router 2","Router 1 a Switch2 | Router 1 a Router 3","Router 1 a Switch2 | Router 1 a Router 2"))</f>
        <v>Router 2 a Switch2 | Router 1 a Router 3</v>
      </c>
      <c r="G24" s="42"/>
      <c r="H24" s="42"/>
    </row>
    <row r="26" spans="1:8">
      <c r="A26" s="34" t="s">
        <v>28</v>
      </c>
      <c r="B26" s="34"/>
      <c r="C26" s="34"/>
      <c r="D26" s="34"/>
      <c r="E26" s="34"/>
      <c r="F26" s="34"/>
      <c r="G26" s="34"/>
      <c r="H26" s="34"/>
    </row>
    <row r="27" spans="1:8" ht="15" customHeight="1">
      <c r="A27" s="3" t="s">
        <v>29</v>
      </c>
      <c r="B27" s="35" t="s">
        <v>30</v>
      </c>
      <c r="C27" s="35"/>
      <c r="D27" s="35" t="s">
        <v>31</v>
      </c>
      <c r="E27" s="35"/>
      <c r="F27" s="35" t="s">
        <v>32</v>
      </c>
      <c r="G27" s="35"/>
    </row>
    <row r="28" spans="1:8" ht="15.75" customHeight="1">
      <c r="A28" s="5">
        <v>0</v>
      </c>
      <c r="B28" s="48">
        <v>60</v>
      </c>
      <c r="C28" s="48"/>
      <c r="D28" s="48">
        <v>210</v>
      </c>
      <c r="E28" s="48"/>
      <c r="F28" s="48">
        <v>94</v>
      </c>
      <c r="G28" s="48"/>
    </row>
    <row r="29" spans="1:8" ht="15.75" customHeight="1">
      <c r="A29" s="6">
        <v>1</v>
      </c>
      <c r="B29" s="49">
        <v>190</v>
      </c>
      <c r="C29" s="49"/>
      <c r="D29" s="49">
        <v>26</v>
      </c>
      <c r="E29" s="49"/>
      <c r="F29" s="49">
        <v>320</v>
      </c>
      <c r="G29" s="49"/>
    </row>
    <row r="30" spans="1:8" ht="15.75" customHeight="1">
      <c r="A30" s="5">
        <v>2</v>
      </c>
      <c r="B30" s="48">
        <v>26</v>
      </c>
      <c r="C30" s="48"/>
      <c r="D30" s="48">
        <v>190</v>
      </c>
      <c r="E30" s="48"/>
      <c r="F30" s="48">
        <v>320</v>
      </c>
      <c r="G30" s="48"/>
    </row>
    <row r="31" spans="1:8" ht="15.75" customHeight="1">
      <c r="A31" s="6">
        <v>3</v>
      </c>
      <c r="B31" s="49">
        <v>60</v>
      </c>
      <c r="C31" s="49"/>
      <c r="D31" s="49">
        <v>94</v>
      </c>
      <c r="E31" s="49"/>
      <c r="F31" s="49">
        <v>210</v>
      </c>
      <c r="G31" s="49"/>
    </row>
    <row r="32" spans="1:8" ht="15.75" customHeight="1">
      <c r="A32" s="5">
        <v>4</v>
      </c>
      <c r="B32" s="48">
        <v>94</v>
      </c>
      <c r="C32" s="48"/>
      <c r="D32" s="48">
        <v>60</v>
      </c>
      <c r="E32" s="48"/>
      <c r="F32" s="48">
        <v>210</v>
      </c>
      <c r="G32" s="48"/>
    </row>
    <row r="33" spans="1:8" ht="15.75" customHeight="1">
      <c r="A33" s="6">
        <v>5</v>
      </c>
      <c r="B33" s="49">
        <v>190</v>
      </c>
      <c r="C33" s="49"/>
      <c r="D33" s="49">
        <v>80</v>
      </c>
      <c r="E33" s="49"/>
      <c r="F33" s="49">
        <v>500</v>
      </c>
      <c r="G33" s="49"/>
    </row>
    <row r="34" spans="1:8" ht="15.75" customHeight="1">
      <c r="A34" s="5">
        <v>6</v>
      </c>
      <c r="B34" s="48">
        <v>26</v>
      </c>
      <c r="C34" s="48"/>
      <c r="D34" s="48">
        <v>320</v>
      </c>
      <c r="E34" s="48"/>
      <c r="F34" s="48">
        <v>190</v>
      </c>
      <c r="G34" s="48"/>
    </row>
    <row r="35" spans="1:8" ht="15.75" customHeight="1">
      <c r="A35" s="6">
        <v>7</v>
      </c>
      <c r="B35" s="49">
        <v>80</v>
      </c>
      <c r="C35" s="49"/>
      <c r="D35" s="49">
        <v>190</v>
      </c>
      <c r="E35" s="49"/>
      <c r="F35" s="49">
        <v>500</v>
      </c>
      <c r="G35" s="49"/>
    </row>
    <row r="36" spans="1:8" ht="15.75" customHeight="1">
      <c r="A36" s="5">
        <v>8</v>
      </c>
      <c r="B36" s="48">
        <v>94</v>
      </c>
      <c r="C36" s="48"/>
      <c r="D36" s="48">
        <v>210</v>
      </c>
      <c r="E36" s="48"/>
      <c r="F36" s="48">
        <v>60</v>
      </c>
      <c r="G36" s="48"/>
    </row>
    <row r="37" spans="1:8" ht="15.75" customHeight="1">
      <c r="A37" s="6">
        <v>9</v>
      </c>
      <c r="B37" s="49">
        <v>190</v>
      </c>
      <c r="C37" s="49"/>
      <c r="D37" s="49">
        <v>320</v>
      </c>
      <c r="E37" s="49"/>
      <c r="F37" s="49">
        <v>26</v>
      </c>
      <c r="G37" s="49"/>
    </row>
    <row r="38" spans="1:8" ht="15.75" customHeight="1">
      <c r="A38" s="5">
        <v>10</v>
      </c>
      <c r="B38" s="48">
        <v>190</v>
      </c>
      <c r="C38" s="48"/>
      <c r="D38" s="48">
        <v>500</v>
      </c>
      <c r="E38" s="48"/>
      <c r="F38" s="48">
        <v>80</v>
      </c>
      <c r="G38" s="48"/>
    </row>
    <row r="39" spans="1:8" ht="15.75" customHeight="1">
      <c r="A39" s="6">
        <v>11</v>
      </c>
      <c r="B39" s="49">
        <v>80</v>
      </c>
      <c r="C39" s="49"/>
      <c r="D39" s="49">
        <v>500</v>
      </c>
      <c r="E39" s="49"/>
      <c r="F39" s="49">
        <v>190</v>
      </c>
      <c r="G39" s="49"/>
    </row>
    <row r="41" spans="1:8" ht="18" customHeight="1">
      <c r="A41" s="47" t="s">
        <v>33</v>
      </c>
      <c r="B41" s="47"/>
      <c r="C41" s="53" t="s">
        <v>34</v>
      </c>
      <c r="D41" s="53"/>
      <c r="E41" s="53" t="s">
        <v>35</v>
      </c>
      <c r="F41" s="53"/>
      <c r="G41" s="53" t="s">
        <v>36</v>
      </c>
      <c r="H41" s="53"/>
    </row>
    <row r="42" spans="1:8" ht="21.75" customHeight="1">
      <c r="A42" s="52"/>
      <c r="B42" s="52"/>
      <c r="C42" s="42">
        <f>IF(F16="","",CHOOSE(F16+1,60,190,26,60,94,190,26,80,94,190,190,80))</f>
        <v>60</v>
      </c>
      <c r="D42" s="42"/>
      <c r="E42" s="42">
        <f>IF(F16="","",CHOOSE(F16+1,210,26,190,94,60,80,320,190,210,320,500,500))</f>
        <v>94</v>
      </c>
      <c r="F42" s="42"/>
      <c r="G42" s="42">
        <f>IF(F16="","",CHOOSE(F16+1,94,320,320,210,210,500,190,500,60,26,80,190))</f>
        <v>210</v>
      </c>
      <c r="H42" s="42"/>
    </row>
  </sheetData>
  <mergeCells count="88">
    <mergeCell ref="N5:P5"/>
    <mergeCell ref="J6:M6"/>
    <mergeCell ref="N6:P6"/>
    <mergeCell ref="A42:B42"/>
    <mergeCell ref="C42:D42"/>
    <mergeCell ref="E42:F42"/>
    <mergeCell ref="G42:H42"/>
    <mergeCell ref="J5:M5"/>
    <mergeCell ref="B39:C39"/>
    <mergeCell ref="D39:E39"/>
    <mergeCell ref="F39:G39"/>
    <mergeCell ref="A41:B41"/>
    <mergeCell ref="C41:D41"/>
    <mergeCell ref="E41:F41"/>
    <mergeCell ref="G41:H41"/>
    <mergeCell ref="B37:C37"/>
    <mergeCell ref="D37:E37"/>
    <mergeCell ref="F37:G37"/>
    <mergeCell ref="B38:C38"/>
    <mergeCell ref="D38:E38"/>
    <mergeCell ref="F38:G38"/>
    <mergeCell ref="B35:C35"/>
    <mergeCell ref="D35:E35"/>
    <mergeCell ref="F35:G35"/>
    <mergeCell ref="B36:C36"/>
    <mergeCell ref="D36:E36"/>
    <mergeCell ref="F36:G36"/>
    <mergeCell ref="B33:C33"/>
    <mergeCell ref="D33:E33"/>
    <mergeCell ref="F33:G33"/>
    <mergeCell ref="B34:C34"/>
    <mergeCell ref="D34:E34"/>
    <mergeCell ref="F34:G34"/>
    <mergeCell ref="B31:C31"/>
    <mergeCell ref="D31:E31"/>
    <mergeCell ref="F31:G31"/>
    <mergeCell ref="B32:C32"/>
    <mergeCell ref="D32:E32"/>
    <mergeCell ref="F32:G32"/>
    <mergeCell ref="B29:C29"/>
    <mergeCell ref="D29:E29"/>
    <mergeCell ref="F29:G29"/>
    <mergeCell ref="B30:C30"/>
    <mergeCell ref="D30:E30"/>
    <mergeCell ref="F30:G30"/>
    <mergeCell ref="B27:C27"/>
    <mergeCell ref="D27:E27"/>
    <mergeCell ref="F27:G27"/>
    <mergeCell ref="B28:C28"/>
    <mergeCell ref="D28:E28"/>
    <mergeCell ref="F28:G28"/>
    <mergeCell ref="B23:D23"/>
    <mergeCell ref="E23:H23"/>
    <mergeCell ref="A24:E24"/>
    <mergeCell ref="F24:H24"/>
    <mergeCell ref="A26:H26"/>
    <mergeCell ref="B20:D20"/>
    <mergeCell ref="E20:H20"/>
    <mergeCell ref="B21:D21"/>
    <mergeCell ref="E21:H21"/>
    <mergeCell ref="B22:D22"/>
    <mergeCell ref="E22:H22"/>
    <mergeCell ref="A16:E16"/>
    <mergeCell ref="F16:H16"/>
    <mergeCell ref="A18:H18"/>
    <mergeCell ref="B19:C19"/>
    <mergeCell ref="E19:G19"/>
    <mergeCell ref="A13:H13"/>
    <mergeCell ref="A14:E14"/>
    <mergeCell ref="F14:H14"/>
    <mergeCell ref="A15:E15"/>
    <mergeCell ref="F15:H15"/>
    <mergeCell ref="A10:E10"/>
    <mergeCell ref="F10:H10"/>
    <mergeCell ref="A11:H11"/>
    <mergeCell ref="B9:E9"/>
    <mergeCell ref="F9:H9"/>
    <mergeCell ref="B6:E6"/>
    <mergeCell ref="F6:H6"/>
    <mergeCell ref="B7:E7"/>
    <mergeCell ref="F7:H7"/>
    <mergeCell ref="B8:E8"/>
    <mergeCell ref="F8:H8"/>
    <mergeCell ref="A1:H1"/>
    <mergeCell ref="A2:H2"/>
    <mergeCell ref="A4:H4"/>
    <mergeCell ref="B5:E5"/>
    <mergeCell ref="F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showGridLines="0" zoomScaleNormal="100" workbookViewId="0">
      <pane ySplit="4" topLeftCell="A5" activePane="bottomLeft" state="frozen"/>
      <selection pane="bottomLeft" activeCell="O5" sqref="O5"/>
    </sheetView>
  </sheetViews>
  <sheetFormatPr defaultColWidth="8.7109375" defaultRowHeight="14.45"/>
  <cols>
    <col min="1" max="1" width="16" customWidth="1"/>
    <col min="2" max="2" width="12" customWidth="1"/>
    <col min="3" max="3" width="20" customWidth="1"/>
    <col min="4" max="6" width="18" customWidth="1"/>
    <col min="7" max="7" width="26" customWidth="1"/>
    <col min="8" max="8" width="16" customWidth="1"/>
  </cols>
  <sheetData>
    <row r="1" spans="1:8" ht="27.75" customHeight="1">
      <c r="A1" s="54" t="s">
        <v>37</v>
      </c>
      <c r="B1" s="54"/>
      <c r="C1" s="54"/>
      <c r="D1" s="54"/>
      <c r="E1" s="54"/>
      <c r="F1" s="54"/>
      <c r="G1" s="54"/>
      <c r="H1" s="54"/>
    </row>
    <row r="2" spans="1:8" ht="31.5" customHeight="1">
      <c r="A2" s="55" t="s">
        <v>38</v>
      </c>
      <c r="B2" s="55"/>
      <c r="C2" s="55"/>
      <c r="D2" s="55"/>
      <c r="E2" s="55"/>
      <c r="F2" s="55"/>
      <c r="G2" s="55"/>
      <c r="H2" s="55"/>
    </row>
    <row r="4" spans="1:8" ht="36" customHeight="1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45</v>
      </c>
      <c r="H4" s="3" t="s">
        <v>46</v>
      </c>
    </row>
    <row r="5" spans="1:8" ht="21.75" customHeight="1">
      <c r="A5" s="4" t="s">
        <v>47</v>
      </c>
      <c r="B5" s="7">
        <f>IF('1. Datos y Cálculos'!C42="","Ver hoja 1", '1. Datos y Cálculos'!C42)</f>
        <v>60</v>
      </c>
      <c r="C5" s="8" t="s">
        <v>48</v>
      </c>
      <c r="D5" s="8" t="s">
        <v>49</v>
      </c>
      <c r="E5" s="8" t="s">
        <v>50</v>
      </c>
      <c r="F5" s="8" t="s">
        <v>51</v>
      </c>
      <c r="G5" s="8" t="s">
        <v>52</v>
      </c>
      <c r="H5" s="9"/>
    </row>
    <row r="6" spans="1:8" ht="21.75" customHeight="1">
      <c r="A6" s="4" t="s">
        <v>53</v>
      </c>
      <c r="B6" s="7">
        <f>IF('1. Datos y Cálculos'!E42="","Ver hoja 1", '1. Datos y Cálculos'!E42)</f>
        <v>94</v>
      </c>
      <c r="C6" s="23" t="s">
        <v>54</v>
      </c>
      <c r="D6" s="8" t="s">
        <v>55</v>
      </c>
      <c r="E6" s="8" t="s">
        <v>56</v>
      </c>
      <c r="F6" s="8" t="s">
        <v>57</v>
      </c>
      <c r="G6" s="8" t="s">
        <v>58</v>
      </c>
      <c r="H6" s="9"/>
    </row>
    <row r="7" spans="1:8" ht="21.75" customHeight="1">
      <c r="A7" s="4" t="s">
        <v>59</v>
      </c>
      <c r="B7" s="7">
        <f>IF('1. Datos y Cálculos'!G42="","Ver hoja 1", '1. Datos y Cálculos'!G42)</f>
        <v>210</v>
      </c>
      <c r="C7" s="23" t="s">
        <v>60</v>
      </c>
      <c r="D7" s="8" t="s">
        <v>61</v>
      </c>
      <c r="E7" s="8" t="s">
        <v>62</v>
      </c>
      <c r="F7" s="8" t="s">
        <v>63</v>
      </c>
      <c r="G7" s="8" t="s">
        <v>64</v>
      </c>
      <c r="H7" s="9"/>
    </row>
    <row r="8" spans="1:8" ht="21.75" customHeight="1">
      <c r="A8" s="4" t="s">
        <v>65</v>
      </c>
      <c r="B8" s="7" t="s">
        <v>66</v>
      </c>
      <c r="C8" s="23" t="s">
        <v>67</v>
      </c>
      <c r="D8" s="8" t="s">
        <v>68</v>
      </c>
      <c r="E8" s="8" t="s">
        <v>69</v>
      </c>
      <c r="F8" s="8" t="s">
        <v>70</v>
      </c>
      <c r="G8" s="8" t="s">
        <v>71</v>
      </c>
      <c r="H8" s="9" t="s">
        <v>72</v>
      </c>
    </row>
    <row r="9" spans="1:8" ht="21.75" customHeight="1">
      <c r="A9" s="4" t="s">
        <v>73</v>
      </c>
      <c r="B9" s="7" t="s">
        <v>74</v>
      </c>
      <c r="C9" s="23" t="s">
        <v>75</v>
      </c>
      <c r="D9" s="8" t="s">
        <v>76</v>
      </c>
      <c r="E9" s="8" t="s">
        <v>77</v>
      </c>
      <c r="F9" s="8" t="s">
        <v>78</v>
      </c>
      <c r="G9" s="8" t="s">
        <v>79</v>
      </c>
      <c r="H9" s="9" t="s">
        <v>72</v>
      </c>
    </row>
    <row r="10" spans="1:8" ht="21.75" customHeight="1">
      <c r="A10" s="4" t="s">
        <v>80</v>
      </c>
      <c r="B10" s="8">
        <v>2</v>
      </c>
      <c r="C10" s="8" t="s">
        <v>81</v>
      </c>
      <c r="D10" s="8" t="s">
        <v>82</v>
      </c>
      <c r="E10" s="8" t="s">
        <v>83</v>
      </c>
      <c r="F10" s="8" t="s">
        <v>84</v>
      </c>
      <c r="G10" s="8" t="s">
        <v>85</v>
      </c>
      <c r="H10" s="9"/>
    </row>
    <row r="11" spans="1:8" ht="21.75" customHeight="1">
      <c r="A11" s="4" t="s">
        <v>86</v>
      </c>
      <c r="B11" s="8">
        <v>2</v>
      </c>
      <c r="C11" s="8" t="s">
        <v>87</v>
      </c>
      <c r="D11" s="8" t="s">
        <v>82</v>
      </c>
      <c r="E11" s="8" t="s">
        <v>88</v>
      </c>
      <c r="F11" s="8" t="s">
        <v>89</v>
      </c>
      <c r="G11" s="8" t="s">
        <v>90</v>
      </c>
      <c r="H11" s="9" t="s">
        <v>91</v>
      </c>
    </row>
    <row r="12" spans="1:8" ht="21.75" customHeight="1">
      <c r="A12" s="4" t="s">
        <v>92</v>
      </c>
      <c r="B12" s="8">
        <v>2</v>
      </c>
      <c r="C12" s="8" t="s">
        <v>93</v>
      </c>
      <c r="D12" s="8" t="s">
        <v>82</v>
      </c>
      <c r="E12" s="8" t="s">
        <v>94</v>
      </c>
      <c r="F12" s="8" t="s">
        <v>95</v>
      </c>
      <c r="G12" s="24" t="s">
        <v>96</v>
      </c>
      <c r="H12" s="9" t="s">
        <v>91</v>
      </c>
    </row>
    <row r="13" spans="1:8" ht="21.75" customHeight="1">
      <c r="A13" s="4" t="s">
        <v>97</v>
      </c>
      <c r="B13" s="8">
        <v>2</v>
      </c>
      <c r="C13" s="8" t="s">
        <v>98</v>
      </c>
      <c r="D13" s="8" t="s">
        <v>82</v>
      </c>
      <c r="E13" s="8" t="s">
        <v>99</v>
      </c>
      <c r="F13" s="8" t="s">
        <v>100</v>
      </c>
      <c r="G13" s="24" t="s">
        <v>101</v>
      </c>
      <c r="H13" s="9" t="s">
        <v>91</v>
      </c>
    </row>
    <row r="14" spans="1:8" ht="21.75" customHeight="1">
      <c r="A14" s="4" t="s">
        <v>102</v>
      </c>
      <c r="B14" s="8">
        <v>2</v>
      </c>
      <c r="C14" s="8" t="s">
        <v>103</v>
      </c>
      <c r="D14" s="8" t="s">
        <v>82</v>
      </c>
      <c r="E14" s="8" t="s">
        <v>104</v>
      </c>
      <c r="F14" s="8" t="s">
        <v>105</v>
      </c>
      <c r="G14" s="24" t="s">
        <v>106</v>
      </c>
      <c r="H14" s="9" t="s">
        <v>91</v>
      </c>
    </row>
    <row r="15" spans="1:8" ht="21.75" customHeight="1">
      <c r="A15" s="4" t="s">
        <v>107</v>
      </c>
      <c r="B15" s="8">
        <v>2</v>
      </c>
      <c r="C15" s="8" t="s">
        <v>108</v>
      </c>
      <c r="D15" s="8" t="s">
        <v>82</v>
      </c>
      <c r="E15" s="8" t="s">
        <v>109</v>
      </c>
      <c r="F15" s="8" t="s">
        <v>110</v>
      </c>
      <c r="G15" s="24" t="s">
        <v>111</v>
      </c>
      <c r="H15" s="9" t="s">
        <v>91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"/>
  <sheetViews>
    <sheetView showGridLines="0" zoomScaleNormal="100" workbookViewId="0">
      <pane ySplit="4" topLeftCell="A5" activePane="bottomLeft" state="frozen"/>
      <selection pane="bottomLeft" activeCell="G46" sqref="G46"/>
    </sheetView>
  </sheetViews>
  <sheetFormatPr defaultColWidth="8.7109375" defaultRowHeight="14.45"/>
  <cols>
    <col min="1" max="1" width="14" customWidth="1"/>
    <col min="2" max="2" width="22" customWidth="1"/>
    <col min="3" max="4" width="18" customWidth="1"/>
    <col min="5" max="5" width="14" customWidth="1"/>
    <col min="6" max="6" width="18" customWidth="1"/>
  </cols>
  <sheetData>
    <row r="1" spans="1:6" ht="27.75" customHeight="1">
      <c r="A1" s="54" t="s">
        <v>112</v>
      </c>
      <c r="B1" s="54"/>
      <c r="C1" s="54"/>
      <c r="D1" s="54"/>
      <c r="E1" s="54"/>
      <c r="F1" s="54"/>
    </row>
    <row r="3" spans="1:6">
      <c r="A3" s="34" t="s">
        <v>113</v>
      </c>
      <c r="B3" s="34"/>
      <c r="C3" s="34"/>
      <c r="D3" s="34"/>
      <c r="E3" s="34"/>
      <c r="F3" s="34"/>
    </row>
    <row r="4" spans="1:6" ht="27.75" customHeight="1">
      <c r="A4" s="3" t="s">
        <v>114</v>
      </c>
      <c r="B4" s="3" t="s">
        <v>115</v>
      </c>
      <c r="C4" s="3" t="s">
        <v>116</v>
      </c>
      <c r="D4" s="3" t="s">
        <v>42</v>
      </c>
      <c r="E4" s="3" t="s">
        <v>117</v>
      </c>
      <c r="F4" s="3" t="s">
        <v>118</v>
      </c>
    </row>
    <row r="5" spans="1:6" ht="19.5" customHeight="1">
      <c r="A5" s="4" t="s">
        <v>119</v>
      </c>
      <c r="B5" s="10" t="s">
        <v>120</v>
      </c>
      <c r="C5" s="11" t="s">
        <v>121</v>
      </c>
      <c r="D5" s="11" t="s">
        <v>49</v>
      </c>
      <c r="E5" s="11" t="s">
        <v>122</v>
      </c>
      <c r="F5" s="11" t="s">
        <v>123</v>
      </c>
    </row>
    <row r="6" spans="1:6" ht="19.5" customHeight="1">
      <c r="A6" s="4" t="s">
        <v>124</v>
      </c>
      <c r="B6" s="10" t="s">
        <v>120</v>
      </c>
      <c r="C6" s="11" t="s">
        <v>125</v>
      </c>
      <c r="D6" s="11" t="s">
        <v>49</v>
      </c>
      <c r="E6" s="11" t="s">
        <v>122</v>
      </c>
      <c r="F6" s="11" t="s">
        <v>123</v>
      </c>
    </row>
    <row r="7" spans="1:6" ht="19.5" customHeight="1">
      <c r="A7" s="4" t="s">
        <v>126</v>
      </c>
      <c r="B7" s="10" t="s">
        <v>120</v>
      </c>
      <c r="C7" s="11" t="s">
        <v>127</v>
      </c>
      <c r="D7" s="11" t="s">
        <v>55</v>
      </c>
      <c r="E7" s="11" t="s">
        <v>128</v>
      </c>
      <c r="F7" s="11" t="s">
        <v>123</v>
      </c>
    </row>
    <row r="8" spans="1:6" ht="19.5" customHeight="1">
      <c r="A8" s="4" t="s">
        <v>129</v>
      </c>
      <c r="B8" s="10" t="s">
        <v>120</v>
      </c>
      <c r="C8" s="11" t="s">
        <v>130</v>
      </c>
      <c r="D8" s="11" t="s">
        <v>55</v>
      </c>
      <c r="E8" s="11" t="s">
        <v>128</v>
      </c>
      <c r="F8" s="11" t="s">
        <v>123</v>
      </c>
    </row>
    <row r="9" spans="1:6" ht="19.5" customHeight="1">
      <c r="A9" s="4" t="s">
        <v>131</v>
      </c>
      <c r="B9" s="10" t="s">
        <v>120</v>
      </c>
      <c r="C9" s="11" t="s">
        <v>132</v>
      </c>
      <c r="D9" s="11" t="s">
        <v>61</v>
      </c>
      <c r="E9" s="11" t="s">
        <v>133</v>
      </c>
      <c r="F9" s="11" t="s">
        <v>123</v>
      </c>
    </row>
    <row r="10" spans="1:6" ht="19.5" customHeight="1">
      <c r="A10" s="4" t="s">
        <v>134</v>
      </c>
      <c r="B10" s="10" t="s">
        <v>120</v>
      </c>
      <c r="C10" s="11" t="s">
        <v>135</v>
      </c>
      <c r="D10" s="11" t="s">
        <v>61</v>
      </c>
      <c r="E10" s="11" t="s">
        <v>133</v>
      </c>
      <c r="F10" s="11" t="s">
        <v>123</v>
      </c>
    </row>
    <row r="11" spans="1:6" ht="19.5" customHeight="1">
      <c r="A11" s="4" t="s">
        <v>136</v>
      </c>
      <c r="B11" s="10" t="s">
        <v>120</v>
      </c>
      <c r="C11" s="11" t="s">
        <v>137</v>
      </c>
      <c r="D11" s="11" t="s">
        <v>68</v>
      </c>
      <c r="E11" s="11" t="s">
        <v>71</v>
      </c>
      <c r="F11" s="11" t="s">
        <v>123</v>
      </c>
    </row>
    <row r="12" spans="1:6" ht="19.5" customHeight="1">
      <c r="A12" s="4" t="s">
        <v>138</v>
      </c>
      <c r="B12" s="10" t="s">
        <v>120</v>
      </c>
      <c r="C12" s="11" t="s">
        <v>139</v>
      </c>
      <c r="D12" s="11" t="s">
        <v>68</v>
      </c>
      <c r="E12" s="11" t="s">
        <v>71</v>
      </c>
      <c r="F12" s="11" t="s">
        <v>123</v>
      </c>
    </row>
    <row r="13" spans="1:6" ht="19.5" customHeight="1">
      <c r="A13" s="4" t="s">
        <v>140</v>
      </c>
      <c r="B13" s="10" t="s">
        <v>120</v>
      </c>
      <c r="C13" s="11" t="s">
        <v>141</v>
      </c>
      <c r="D13" s="11" t="s">
        <v>76</v>
      </c>
      <c r="E13" s="11" t="s">
        <v>142</v>
      </c>
      <c r="F13" s="11" t="s">
        <v>123</v>
      </c>
    </row>
    <row r="14" spans="1:6" ht="19.5" customHeight="1">
      <c r="A14" s="4" t="s">
        <v>143</v>
      </c>
      <c r="B14" s="10" t="s">
        <v>120</v>
      </c>
      <c r="C14" s="11" t="s">
        <v>144</v>
      </c>
      <c r="D14" s="11" t="s">
        <v>76</v>
      </c>
      <c r="E14" s="11" t="s">
        <v>142</v>
      </c>
      <c r="F14" s="11" t="s">
        <v>123</v>
      </c>
    </row>
    <row r="16" spans="1:6">
      <c r="A16" s="34" t="s">
        <v>145</v>
      </c>
      <c r="B16" s="34"/>
      <c r="C16" s="34"/>
      <c r="D16" s="34"/>
      <c r="E16" s="34"/>
      <c r="F16" s="34"/>
    </row>
    <row r="17" spans="1:6" ht="27.75" customHeight="1">
      <c r="A17" s="3" t="s">
        <v>114</v>
      </c>
      <c r="B17" s="3" t="s">
        <v>115</v>
      </c>
      <c r="C17" s="3" t="s">
        <v>116</v>
      </c>
      <c r="D17" s="3" t="s">
        <v>42</v>
      </c>
      <c r="E17" s="3" t="s">
        <v>117</v>
      </c>
      <c r="F17" s="3" t="s">
        <v>118</v>
      </c>
    </row>
    <row r="18" spans="1:6" ht="19.5" customHeight="1">
      <c r="A18" s="12" t="s">
        <v>146</v>
      </c>
      <c r="B18" s="12" t="s">
        <v>120</v>
      </c>
      <c r="C18" s="12" t="s">
        <v>123</v>
      </c>
      <c r="D18" s="12" t="s">
        <v>147</v>
      </c>
      <c r="E18" s="12" t="s">
        <v>148</v>
      </c>
      <c r="F18" s="12" t="s">
        <v>149</v>
      </c>
    </row>
    <row r="19" spans="1:6" ht="19.5" customHeight="1">
      <c r="A19" s="13" t="s">
        <v>150</v>
      </c>
      <c r="B19" s="13" t="s">
        <v>120</v>
      </c>
      <c r="C19" s="13" t="s">
        <v>151</v>
      </c>
      <c r="D19" s="13" t="s">
        <v>147</v>
      </c>
      <c r="E19" s="13" t="s">
        <v>148</v>
      </c>
      <c r="F19" s="13" t="s">
        <v>123</v>
      </c>
    </row>
    <row r="20" spans="1:6" ht="19.5" customHeight="1">
      <c r="A20" s="12" t="s">
        <v>152</v>
      </c>
      <c r="B20" s="12" t="s">
        <v>120</v>
      </c>
      <c r="C20" s="12" t="s">
        <v>153</v>
      </c>
      <c r="D20" s="12" t="s">
        <v>147</v>
      </c>
      <c r="E20" s="12" t="s">
        <v>148</v>
      </c>
      <c r="F20" s="12" t="s">
        <v>123</v>
      </c>
    </row>
    <row r="22" spans="1:6">
      <c r="A22" s="34" t="s">
        <v>154</v>
      </c>
      <c r="B22" s="34"/>
      <c r="C22" s="34"/>
      <c r="D22" s="34"/>
      <c r="E22" s="34"/>
    </row>
    <row r="23" spans="1:6" ht="27.75" customHeight="1">
      <c r="A23" s="3" t="s">
        <v>114</v>
      </c>
      <c r="B23" s="3" t="s">
        <v>115</v>
      </c>
      <c r="C23" s="3" t="s">
        <v>116</v>
      </c>
      <c r="D23" s="3" t="s">
        <v>42</v>
      </c>
      <c r="E23" s="3" t="s">
        <v>46</v>
      </c>
    </row>
    <row r="24" spans="1:6" ht="19.5" customHeight="1">
      <c r="A24" s="14" t="s">
        <v>155</v>
      </c>
      <c r="B24" s="13" t="s">
        <v>156</v>
      </c>
      <c r="C24" s="13" t="s">
        <v>148</v>
      </c>
      <c r="D24" s="13" t="s">
        <v>147</v>
      </c>
      <c r="E24" s="13" t="s">
        <v>157</v>
      </c>
    </row>
    <row r="25" spans="1:6" ht="19.5" customHeight="1">
      <c r="A25" s="14" t="s">
        <v>155</v>
      </c>
      <c r="B25" s="13" t="s">
        <v>158</v>
      </c>
      <c r="C25" s="13" t="s">
        <v>84</v>
      </c>
      <c r="D25" s="13" t="s">
        <v>159</v>
      </c>
      <c r="E25" s="13" t="s">
        <v>157</v>
      </c>
    </row>
    <row r="26" spans="1:6" ht="19.5" customHeight="1">
      <c r="A26" s="4" t="s">
        <v>160</v>
      </c>
      <c r="B26" s="15" t="s">
        <v>158</v>
      </c>
      <c r="C26" s="11" t="s">
        <v>85</v>
      </c>
      <c r="D26" s="25">
        <v>255255255252</v>
      </c>
      <c r="E26" s="2"/>
    </row>
    <row r="27" spans="1:6" ht="19.5" customHeight="1">
      <c r="A27" s="4" t="s">
        <v>160</v>
      </c>
      <c r="B27" s="16" t="s">
        <v>161</v>
      </c>
      <c r="C27" s="11" t="s">
        <v>89</v>
      </c>
      <c r="D27" s="25">
        <v>255255255252</v>
      </c>
      <c r="E27" s="1"/>
    </row>
    <row r="28" spans="1:6" ht="19.5" customHeight="1">
      <c r="A28" s="4" t="s">
        <v>160</v>
      </c>
      <c r="B28" s="15" t="s">
        <v>162</v>
      </c>
      <c r="C28" s="11" t="s">
        <v>163</v>
      </c>
      <c r="D28" s="11"/>
      <c r="E28" s="2"/>
    </row>
    <row r="29" spans="1:6" ht="19.5" customHeight="1">
      <c r="A29" s="4" t="s">
        <v>160</v>
      </c>
      <c r="B29" s="16" t="s">
        <v>156</v>
      </c>
      <c r="C29" s="11" t="s">
        <v>164</v>
      </c>
      <c r="D29" s="25">
        <v>255255255224</v>
      </c>
      <c r="E29" s="1"/>
    </row>
    <row r="30" spans="1:6" ht="19.5" customHeight="1">
      <c r="A30" s="4" t="s">
        <v>160</v>
      </c>
      <c r="B30" s="15" t="s">
        <v>165</v>
      </c>
      <c r="C30" s="11" t="s">
        <v>166</v>
      </c>
      <c r="D30" s="11" t="s">
        <v>167</v>
      </c>
      <c r="E30" s="2"/>
    </row>
    <row r="31" spans="1:6" ht="19.5" customHeight="1">
      <c r="A31" s="4" t="s">
        <v>168</v>
      </c>
      <c r="B31" s="16" t="s">
        <v>158</v>
      </c>
      <c r="C31" s="11" t="s">
        <v>95</v>
      </c>
      <c r="D31" s="25">
        <v>255255255252</v>
      </c>
      <c r="E31" s="1"/>
    </row>
    <row r="32" spans="1:6" ht="19.5" customHeight="1">
      <c r="A32" s="4" t="s">
        <v>168</v>
      </c>
      <c r="B32" s="15" t="s">
        <v>161</v>
      </c>
      <c r="C32" s="11" t="s">
        <v>90</v>
      </c>
      <c r="D32" s="25">
        <v>255255255252</v>
      </c>
      <c r="E32" s="2"/>
    </row>
    <row r="33" spans="1:5" ht="19.5" customHeight="1">
      <c r="A33" s="4" t="s">
        <v>168</v>
      </c>
      <c r="B33" s="16" t="s">
        <v>156</v>
      </c>
      <c r="C33" s="11" t="s">
        <v>163</v>
      </c>
      <c r="D33" s="11"/>
      <c r="E33" s="1"/>
    </row>
    <row r="34" spans="1:5" ht="19.5" customHeight="1">
      <c r="A34" s="4" t="s">
        <v>168</v>
      </c>
      <c r="B34" s="15" t="s">
        <v>165</v>
      </c>
      <c r="C34" s="11" t="s">
        <v>122</v>
      </c>
      <c r="D34" s="25">
        <v>2552552550</v>
      </c>
      <c r="E34" s="2"/>
    </row>
    <row r="35" spans="1:5" ht="19.5" customHeight="1">
      <c r="A35" s="4" t="s">
        <v>169</v>
      </c>
      <c r="B35" s="16" t="s">
        <v>158</v>
      </c>
      <c r="C35" s="11" t="s">
        <v>163</v>
      </c>
      <c r="D35" s="11"/>
      <c r="E35" s="1"/>
    </row>
    <row r="36" spans="1:5" ht="19.5" customHeight="1">
      <c r="A36" s="4" t="s">
        <v>169</v>
      </c>
      <c r="B36" s="15" t="s">
        <v>161</v>
      </c>
      <c r="C36" s="11" t="s">
        <v>96</v>
      </c>
      <c r="D36" s="25">
        <v>255255255252</v>
      </c>
      <c r="E36" s="2"/>
    </row>
    <row r="37" spans="1:5" ht="19.5" customHeight="1">
      <c r="A37" s="4" t="s">
        <v>169</v>
      </c>
      <c r="B37" s="16" t="s">
        <v>156</v>
      </c>
      <c r="C37" s="11" t="s">
        <v>79</v>
      </c>
      <c r="D37" s="11" t="s">
        <v>170</v>
      </c>
      <c r="E37" s="1"/>
    </row>
    <row r="38" spans="1:5" ht="19.5" customHeight="1">
      <c r="A38" s="4" t="s">
        <v>169</v>
      </c>
      <c r="B38" s="15" t="s">
        <v>165</v>
      </c>
      <c r="C38" s="11" t="s">
        <v>171</v>
      </c>
      <c r="D38" s="11" t="s">
        <v>172</v>
      </c>
      <c r="E38" s="2"/>
    </row>
  </sheetData>
  <mergeCells count="4">
    <mergeCell ref="A1:F1"/>
    <mergeCell ref="A3:F3"/>
    <mergeCell ref="A16:F16"/>
    <mergeCell ref="A22:E2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"/>
  <sheetViews>
    <sheetView showGridLines="0" tabSelected="1" zoomScaleNormal="100" workbookViewId="0">
      <pane ySplit="3" topLeftCell="A27" activePane="bottomLeft" state="frozen"/>
      <selection pane="bottomLeft" activeCell="B31" sqref="B31"/>
    </sheetView>
  </sheetViews>
  <sheetFormatPr defaultColWidth="8.7109375" defaultRowHeight="14.45"/>
  <cols>
    <col min="1" max="3" width="20" customWidth="1"/>
    <col min="4" max="4" width="18" customWidth="1"/>
    <col min="5" max="5" width="12" customWidth="1"/>
    <col min="6" max="6" width="16" customWidth="1"/>
  </cols>
  <sheetData>
    <row r="1" spans="1:6" ht="27.75" customHeight="1">
      <c r="A1" s="54" t="s">
        <v>173</v>
      </c>
      <c r="B1" s="54"/>
      <c r="C1" s="54"/>
      <c r="D1" s="54"/>
      <c r="E1" s="54"/>
      <c r="F1" s="54"/>
    </row>
    <row r="2" spans="1:6" ht="24" customHeight="1">
      <c r="A2" s="55" t="s">
        <v>174</v>
      </c>
      <c r="B2" s="55"/>
      <c r="C2" s="55"/>
      <c r="D2" s="55"/>
      <c r="E2" s="55"/>
      <c r="F2" s="55"/>
    </row>
    <row r="4" spans="1:6" ht="24" customHeight="1">
      <c r="A4" s="34" t="s">
        <v>175</v>
      </c>
      <c r="B4" s="34"/>
      <c r="C4" s="34"/>
      <c r="D4" s="34"/>
      <c r="E4" s="34"/>
      <c r="F4" s="34"/>
    </row>
    <row r="5" spans="1:6" ht="27.75" customHeight="1">
      <c r="A5" s="3" t="s">
        <v>176</v>
      </c>
      <c r="B5" s="3" t="s">
        <v>42</v>
      </c>
      <c r="C5" s="3" t="s">
        <v>115</v>
      </c>
      <c r="D5" s="3" t="s">
        <v>177</v>
      </c>
      <c r="E5" s="3" t="s">
        <v>178</v>
      </c>
      <c r="F5" s="3" t="s">
        <v>46</v>
      </c>
    </row>
    <row r="6" spans="1:6" ht="19.5" customHeight="1">
      <c r="A6" s="8" t="s">
        <v>48</v>
      </c>
      <c r="B6" s="24">
        <v>255255255192</v>
      </c>
      <c r="C6" s="8" t="s">
        <v>179</v>
      </c>
      <c r="D6" s="8" t="s">
        <v>149</v>
      </c>
      <c r="E6" s="2"/>
      <c r="F6" s="2"/>
    </row>
    <row r="7" spans="1:6" ht="19.5" customHeight="1">
      <c r="A7" s="8" t="s">
        <v>54</v>
      </c>
      <c r="B7" s="24">
        <v>255255255128</v>
      </c>
      <c r="C7" s="8" t="s">
        <v>180</v>
      </c>
      <c r="D7" s="8" t="s">
        <v>149</v>
      </c>
      <c r="E7" s="1"/>
      <c r="F7" s="1"/>
    </row>
    <row r="8" spans="1:6" ht="19.5" customHeight="1">
      <c r="A8" s="8" t="s">
        <v>87</v>
      </c>
      <c r="B8" s="24">
        <v>255255255252</v>
      </c>
      <c r="C8" s="8" t="s">
        <v>181</v>
      </c>
      <c r="D8" s="8" t="s">
        <v>149</v>
      </c>
      <c r="E8" s="2"/>
      <c r="F8" s="2"/>
    </row>
    <row r="9" spans="1:6" ht="19.5" customHeight="1">
      <c r="A9" s="8" t="s">
        <v>60</v>
      </c>
      <c r="B9" s="8" t="s">
        <v>167</v>
      </c>
      <c r="C9" s="8" t="s">
        <v>181</v>
      </c>
      <c r="D9" s="8" t="s">
        <v>90</v>
      </c>
      <c r="E9" s="1"/>
      <c r="F9" s="1"/>
    </row>
    <row r="10" spans="1:6" ht="19.5" customHeight="1">
      <c r="A10" s="8" t="s">
        <v>67</v>
      </c>
      <c r="B10" s="8" t="s">
        <v>170</v>
      </c>
      <c r="C10" s="8" t="s">
        <v>181</v>
      </c>
      <c r="D10" s="8" t="s">
        <v>90</v>
      </c>
      <c r="E10" s="2"/>
      <c r="F10" s="2"/>
    </row>
    <row r="11" spans="1:6" ht="19.5" customHeight="1">
      <c r="A11" s="8" t="s">
        <v>182</v>
      </c>
      <c r="B11" s="8" t="s">
        <v>172</v>
      </c>
      <c r="C11" s="8" t="s">
        <v>181</v>
      </c>
      <c r="D11" s="8" t="s">
        <v>90</v>
      </c>
      <c r="E11" s="1"/>
      <c r="F11" s="1"/>
    </row>
    <row r="12" spans="1:6" ht="19.5" customHeight="1">
      <c r="A12" s="8" t="s">
        <v>93</v>
      </c>
      <c r="B12" s="24">
        <v>255255255252</v>
      </c>
      <c r="C12" s="8" t="s">
        <v>181</v>
      </c>
      <c r="D12" s="8" t="s">
        <v>90</v>
      </c>
      <c r="E12" s="2"/>
      <c r="F12" s="2"/>
    </row>
    <row r="13" spans="1:6" ht="19.5" customHeight="1">
      <c r="A13" s="8" t="s">
        <v>183</v>
      </c>
      <c r="B13" s="8" t="s">
        <v>183</v>
      </c>
      <c r="C13" s="8" t="s">
        <v>184</v>
      </c>
      <c r="D13" s="8" t="s">
        <v>84</v>
      </c>
      <c r="E13" s="1"/>
      <c r="F13" s="1"/>
    </row>
    <row r="15" spans="1:6" ht="24" customHeight="1">
      <c r="A15" s="34" t="s">
        <v>185</v>
      </c>
      <c r="B15" s="34"/>
      <c r="C15" s="34"/>
      <c r="D15" s="34"/>
      <c r="E15" s="34"/>
      <c r="F15" s="34"/>
    </row>
    <row r="16" spans="1:6" ht="27.75" customHeight="1">
      <c r="A16" s="3" t="s">
        <v>176</v>
      </c>
      <c r="B16" s="3" t="s">
        <v>42</v>
      </c>
      <c r="C16" s="3" t="s">
        <v>115</v>
      </c>
      <c r="D16" s="3" t="s">
        <v>177</v>
      </c>
      <c r="E16" s="3" t="s">
        <v>178</v>
      </c>
      <c r="F16" s="3" t="s">
        <v>46</v>
      </c>
    </row>
    <row r="17" spans="1:6" ht="19.5" customHeight="1">
      <c r="A17" s="8" t="s">
        <v>60</v>
      </c>
      <c r="B17" s="8" t="s">
        <v>167</v>
      </c>
      <c r="C17" s="8" t="s">
        <v>179</v>
      </c>
      <c r="D17" s="8" t="s">
        <v>149</v>
      </c>
      <c r="E17" s="2"/>
      <c r="F17" s="2"/>
    </row>
    <row r="18" spans="1:6" ht="19.5" customHeight="1">
      <c r="A18" s="8" t="s">
        <v>87</v>
      </c>
      <c r="B18" s="24">
        <v>255255255252</v>
      </c>
      <c r="C18" s="8" t="s">
        <v>184</v>
      </c>
      <c r="D18" s="8" t="s">
        <v>149</v>
      </c>
      <c r="E18" s="1"/>
      <c r="F18" s="1"/>
    </row>
    <row r="19" spans="1:6" ht="19.5" customHeight="1">
      <c r="A19" s="8" t="s">
        <v>93</v>
      </c>
      <c r="B19" s="24">
        <v>255255255252</v>
      </c>
      <c r="C19" s="8" t="s">
        <v>181</v>
      </c>
      <c r="D19" s="8" t="s">
        <v>149</v>
      </c>
      <c r="E19" s="2"/>
      <c r="F19" s="2"/>
    </row>
    <row r="20" spans="1:6" ht="19.5" customHeight="1">
      <c r="A20" s="8" t="s">
        <v>48</v>
      </c>
      <c r="B20" s="24">
        <v>255255255192</v>
      </c>
      <c r="C20" s="8" t="s">
        <v>184</v>
      </c>
      <c r="D20" s="8" t="s">
        <v>89</v>
      </c>
      <c r="E20" s="1"/>
      <c r="F20" s="1"/>
    </row>
    <row r="21" spans="1:6" ht="19.5" customHeight="1">
      <c r="A21" s="8" t="s">
        <v>54</v>
      </c>
      <c r="B21" s="24">
        <v>255255255128</v>
      </c>
      <c r="C21" s="8" t="s">
        <v>184</v>
      </c>
      <c r="D21" s="8" t="s">
        <v>89</v>
      </c>
      <c r="E21" s="2"/>
      <c r="F21" s="2"/>
    </row>
    <row r="22" spans="1:6" ht="19.5" customHeight="1">
      <c r="A22" s="8" t="s">
        <v>67</v>
      </c>
      <c r="B22" s="8" t="s">
        <v>170</v>
      </c>
      <c r="C22" s="8" t="s">
        <v>181</v>
      </c>
      <c r="D22" s="8" t="s">
        <v>96</v>
      </c>
      <c r="E22" s="1"/>
      <c r="F22" s="1"/>
    </row>
    <row r="23" spans="1:6" ht="19.5" customHeight="1">
      <c r="A23" s="8" t="s">
        <v>182</v>
      </c>
      <c r="B23" s="8" t="s">
        <v>172</v>
      </c>
      <c r="C23" s="8" t="s">
        <v>181</v>
      </c>
      <c r="D23" s="8" t="s">
        <v>96</v>
      </c>
      <c r="E23" s="2"/>
      <c r="F23" s="2"/>
    </row>
    <row r="24" spans="1:6" ht="19.5" customHeight="1">
      <c r="A24" s="8" t="s">
        <v>183</v>
      </c>
      <c r="B24" s="8" t="s">
        <v>183</v>
      </c>
      <c r="C24" s="8" t="s">
        <v>184</v>
      </c>
      <c r="D24" s="8" t="s">
        <v>89</v>
      </c>
      <c r="E24" s="1"/>
      <c r="F24" s="1"/>
    </row>
    <row r="26" spans="1:6" ht="24" customHeight="1">
      <c r="A26" s="34" t="s">
        <v>186</v>
      </c>
      <c r="B26" s="34"/>
      <c r="C26" s="34"/>
      <c r="D26" s="34"/>
      <c r="E26" s="34"/>
      <c r="F26" s="34"/>
    </row>
    <row r="27" spans="1:6" ht="27.75" customHeight="1">
      <c r="A27" s="3" t="s">
        <v>176</v>
      </c>
      <c r="B27" s="3" t="s">
        <v>42</v>
      </c>
      <c r="C27" s="3" t="s">
        <v>115</v>
      </c>
      <c r="D27" s="3" t="s">
        <v>177</v>
      </c>
      <c r="E27" s="3" t="s">
        <v>178</v>
      </c>
      <c r="F27" s="3" t="s">
        <v>46</v>
      </c>
    </row>
    <row r="28" spans="1:6" ht="19.5" customHeight="1">
      <c r="A28" s="8" t="s">
        <v>67</v>
      </c>
      <c r="B28" s="8" t="s">
        <v>170</v>
      </c>
      <c r="C28" s="8" t="s">
        <v>179</v>
      </c>
      <c r="D28" s="8" t="s">
        <v>149</v>
      </c>
      <c r="E28" s="2"/>
      <c r="F28" s="2"/>
    </row>
    <row r="29" spans="1:6" ht="19.5" customHeight="1">
      <c r="A29" s="8" t="s">
        <v>182</v>
      </c>
      <c r="B29" s="8" t="s">
        <v>172</v>
      </c>
      <c r="C29" s="8" t="s">
        <v>180</v>
      </c>
      <c r="D29" s="8" t="s">
        <v>149</v>
      </c>
      <c r="E29" s="1"/>
      <c r="F29" s="1"/>
    </row>
    <row r="30" spans="1:6" ht="19.5" customHeight="1">
      <c r="A30" s="8" t="s">
        <v>93</v>
      </c>
      <c r="B30" s="24">
        <v>255255255252</v>
      </c>
      <c r="C30" s="8" t="s">
        <v>181</v>
      </c>
      <c r="D30" s="30" t="s">
        <v>149</v>
      </c>
      <c r="E30" s="2"/>
      <c r="F30" s="2"/>
    </row>
    <row r="31" spans="1:6" ht="19.5" customHeight="1">
      <c r="A31" s="8" t="s">
        <v>87</v>
      </c>
      <c r="B31" s="24">
        <v>255255255252</v>
      </c>
      <c r="C31" s="27" t="s">
        <v>181</v>
      </c>
      <c r="D31" s="26" t="s">
        <v>95</v>
      </c>
      <c r="E31" s="28"/>
      <c r="F31" s="1"/>
    </row>
    <row r="32" spans="1:6" ht="19.5" customHeight="1">
      <c r="A32" s="23" t="s">
        <v>60</v>
      </c>
      <c r="B32" s="8" t="s">
        <v>167</v>
      </c>
      <c r="C32" s="27" t="s">
        <v>181</v>
      </c>
      <c r="D32" s="26" t="s">
        <v>95</v>
      </c>
      <c r="E32" s="29"/>
      <c r="F32" s="2"/>
    </row>
    <row r="33" spans="1:6" ht="19.5" customHeight="1">
      <c r="A33" s="8" t="s">
        <v>54</v>
      </c>
      <c r="B33" s="24">
        <v>255255255128</v>
      </c>
      <c r="C33" s="8" t="s">
        <v>181</v>
      </c>
      <c r="D33" s="31" t="s">
        <v>95</v>
      </c>
      <c r="E33" s="1"/>
      <c r="F33" s="1"/>
    </row>
    <row r="34" spans="1:6" ht="19.5" customHeight="1">
      <c r="A34" s="8" t="s">
        <v>48</v>
      </c>
      <c r="B34" s="57">
        <v>255255255192</v>
      </c>
      <c r="C34" s="8" t="s">
        <v>181</v>
      </c>
      <c r="D34" s="8" t="s">
        <v>95</v>
      </c>
      <c r="E34" s="2"/>
      <c r="F34" s="2"/>
    </row>
    <row r="35" spans="1:6" ht="19.5" customHeight="1">
      <c r="A35" s="8" t="s">
        <v>183</v>
      </c>
      <c r="B35" s="8" t="s">
        <v>183</v>
      </c>
      <c r="C35" s="8" t="s">
        <v>181</v>
      </c>
      <c r="D35" s="8" t="s">
        <v>95</v>
      </c>
      <c r="E35" s="1"/>
      <c r="F35" s="1"/>
    </row>
  </sheetData>
  <mergeCells count="5">
    <mergeCell ref="A1:F1"/>
    <mergeCell ref="A2:F2"/>
    <mergeCell ref="A4:F4"/>
    <mergeCell ref="A15:F15"/>
    <mergeCell ref="A26:F2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showGridLines="0" zoomScaleNormal="100" workbookViewId="0">
      <selection sqref="A1:D1"/>
    </sheetView>
  </sheetViews>
  <sheetFormatPr defaultColWidth="8.7109375" defaultRowHeight="14.45"/>
  <cols>
    <col min="1" max="1" width="14" customWidth="1"/>
    <col min="2" max="2" width="50" customWidth="1"/>
  </cols>
  <sheetData>
    <row r="1" spans="1:4" ht="27.75" customHeight="1">
      <c r="A1" s="56" t="s">
        <v>187</v>
      </c>
      <c r="B1" s="56"/>
      <c r="C1" s="56"/>
      <c r="D1" s="56"/>
    </row>
    <row r="3" spans="1:4" ht="24" customHeight="1">
      <c r="A3" s="10" t="s">
        <v>188</v>
      </c>
      <c r="B3" s="17" t="s">
        <v>189</v>
      </c>
    </row>
    <row r="4" spans="1:4" ht="24" customHeight="1">
      <c r="A4" s="8" t="s">
        <v>188</v>
      </c>
      <c r="B4" s="17" t="s">
        <v>190</v>
      </c>
    </row>
    <row r="5" spans="1:4" ht="24" customHeight="1">
      <c r="A5" s="7" t="s">
        <v>188</v>
      </c>
      <c r="B5" s="17" t="s">
        <v>191</v>
      </c>
    </row>
    <row r="6" spans="1:4" ht="24" customHeight="1">
      <c r="A6" s="18" t="s">
        <v>188</v>
      </c>
      <c r="B6" s="17" t="s">
        <v>192</v>
      </c>
    </row>
    <row r="7" spans="1:4" ht="24" customHeight="1">
      <c r="A7" s="19" t="s">
        <v>188</v>
      </c>
      <c r="B7" s="17" t="s">
        <v>193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23d8cdc-4d20-44fc-af10-1f4abcf2e70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4AA032CFE862E48A7FEE97649907B83" ma:contentTypeVersion="6" ma:contentTypeDescription="Crear nuevo documento." ma:contentTypeScope="" ma:versionID="19b455a49114a99d39c2ddb49d83f6d2">
  <xsd:schema xmlns:xsd="http://www.w3.org/2001/XMLSchema" xmlns:xs="http://www.w3.org/2001/XMLSchema" xmlns:p="http://schemas.microsoft.com/office/2006/metadata/properties" xmlns:ns3="e23d8cdc-4d20-44fc-af10-1f4abcf2e70d" targetNamespace="http://schemas.microsoft.com/office/2006/metadata/properties" ma:root="true" ma:fieldsID="9d16212374356a8dd59c6a0103040a44" ns3:_="">
    <xsd:import namespace="e23d8cdc-4d20-44fc-af10-1f4abcf2e70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3d8cdc-4d20-44fc-af10-1f4abcf2e70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78FDC3-F2E9-48C6-BC27-7AD82D3F7D6E}"/>
</file>

<file path=customXml/itemProps2.xml><?xml version="1.0" encoding="utf-8"?>
<ds:datastoreItem xmlns:ds="http://schemas.openxmlformats.org/officeDocument/2006/customXml" ds:itemID="{6AD14503-311E-4939-AB52-67802A48498C}"/>
</file>

<file path=customXml/itemProps3.xml><?xml version="1.0" encoding="utf-8"?>
<ds:datastoreItem xmlns:ds="http://schemas.openxmlformats.org/officeDocument/2006/customXml" ds:itemID="{71A04BC9-45F1-4732-ADED-1FD5204054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2026-03-16T11:50:53Z</dcterms:created>
  <dcterms:modified xsi:type="dcterms:W3CDTF">2026-03-23T22:36:33Z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0x01010044AA032CFE862E48A7FEE97649907B83</vt:lpwstr>
  </property>
</Properties>
</file>